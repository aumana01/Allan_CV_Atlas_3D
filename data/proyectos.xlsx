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40f3dbc62342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yectos" sheetId="1" r:id="Rf99a7e57f13249d4"/>
    <x:sheet xmlns:r="http://schemas.openxmlformats.org/officeDocument/2006/relationships" name="Origen_42" sheetId="2" r:id="R57eb53133f3d4543"/>
    <x:sheet xmlns:r="http://schemas.openxmlformats.org/officeDocument/2006/relationships" name="Guía" sheetId="3" r:id="Rf3b3ab56fa7b45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43D50"/>
      </x:patternFill>
    </x:fill>
    <x:fill>
      <x:patternFill patternType="solid">
        <x:fgColor rgb="FF33567A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</x:cellXfs>
  <x:cellStyles count="1">
    <x:cellStyle name="Normal" xfId="0"/>
  </x:cellStyles>
  <x:dxfs count="2">
    <x:dxf>
      <x:fill>
        <x:patternFill>
          <x:bgColor rgb="FFDDF5EA"/>
        </x:patternFill>
      </x:fill>
    </x:dxf>
    <x:dxf>
      <x:fill>
        <x:patternFill>
          <x:bgColor rgb="FFFFF1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1db6aefb4b4de4" /><Relationship Type="http://schemas.openxmlformats.org/officeDocument/2006/relationships/theme" Target="/xl/theme/theme1.xml" Id="Raf70ee45729f46de" /><Relationship Type="http://schemas.openxmlformats.org/officeDocument/2006/relationships/sharedStrings" Target="/xl/sharedStrings.xml" Id="Rc05c4c63cd13463b" /><Relationship Type="http://schemas.openxmlformats.org/officeDocument/2006/relationships/worksheet" Target="/xl/worksheets/sheet1.xml" Id="Rf99a7e57f13249d4" /><Relationship Type="http://schemas.openxmlformats.org/officeDocument/2006/relationships/worksheet" Target="/xl/worksheets/sheet2.xml" Id="R57eb53133f3d4543" /><Relationship Type="http://schemas.openxmlformats.org/officeDocument/2006/relationships/worksheet" Target="/xl/worksheets/sheet3.xml" Id="Rf3b3ab56fa7b45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9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  <x:col min="14" max="14" width="30" hidden="0" customWidth="1"/>
    <x:col min="15" max="15" width="38" hidden="0" customWidth="1"/>
    <x:col min="16" max="16" width="24" hidden="0" customWidth="1"/>
    <x:col min="17" max="17" width="24" hidden="0" customWidth="1"/>
    <x:col min="18" max="18" width="27" hidden="0" customWidth="1"/>
    <x:col min="19" max="19" width="27" hidden="0" customWidth="1"/>
    <x:col min="20" max="20" width="27" hidden="0" customWidth="1"/>
    <x:col min="21" max="21" width="27" hidden="0" customWidth="1"/>
    <x:col min="22" max="22" width="27" hidden="0" customWidth="1"/>
    <x:col min="23" max="23" width="27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3" hidden="0" customWidth="1"/>
  </x:cols>
  <x:sheetData>
    <x:row r="1" ht="30" customHeight="1">
      <x:c r="A1" s="4" t="str">
        <x:v>id</x:v>
      </x:c>
      <x:c r="B1" s="4" t="str">
        <x:v>tipo</x:v>
      </x:c>
      <x:c r="C1" s="4" t="str">
        <x:v>nombre</x:v>
      </x:c>
      <x:c r="D1" s="4" t="str">
        <x:v>organizacion</x:v>
      </x:c>
      <x:c r="E1" s="4" t="str">
        <x:v>pais</x:v>
      </x:c>
      <x:c r="F1" s="4" t="str">
        <x:v>region</x:v>
      </x:c>
      <x:c r="G1" s="4" t="str">
        <x:v>ciudad</x:v>
      </x:c>
      <x:c r="H1" s="4" t="str">
        <x:v>latitud</x:v>
      </x:c>
      <x:c r="I1" s="4" t="str">
        <x:v>longitud</x:v>
      </x:c>
      <x:c r="J1" s="4" t="str">
        <x:v>anio_inicio</x:v>
      </x:c>
      <x:c r="K1" s="4" t="str">
        <x:v>anio_fin</x:v>
      </x:c>
      <x:c r="L1" s="4" t="str">
        <x:v>categoria</x:v>
      </x:c>
      <x:c r="M1" s="4" t="str">
        <x:v>estado</x:v>
      </x:c>
      <x:c r="N1" s="4" t="str">
        <x:v>rol</x:v>
      </x:c>
      <x:c r="O1" s="4" t="str">
        <x:v>descripcion</x:v>
      </x:c>
      <x:c r="P1" s="4" t="str">
        <x:v>tecnologias</x:v>
      </x:c>
      <x:c r="Q1" s="4" t="str">
        <x:v>indicador</x:v>
      </x:c>
      <x:c r="R1" s="4" t="str">
        <x:v>precision</x:v>
      </x:c>
      <x:c r="S1" s="4" t="str">
        <x:v>visible</x:v>
      </x:c>
      <x:c r="T1" s="4" t="str">
        <x:v>fuente</x:v>
      </x:c>
      <x:c r="U1" s="4" t="str">
        <x:v>url_fuente</x:v>
      </x:c>
      <x:c r="V1" s="4" t="str">
        <x:v>url_google_maps</x:v>
      </x:c>
      <x:c r="W1" s="4" t="str">
        <x:v>imagen_url</x:v>
      </x:c>
      <x:c r="X1" s="4" t="str">
        <x:v>ambito</x:v>
      </x:c>
      <x:c r="Y1" s="4" t="str">
        <x:v>evidencia</x:v>
      </x:c>
      <x:c r="Z1" s="4" t="str">
        <x:v>participacion_detalle</x:v>
      </x:c>
      <x:c r="AA1" s="4" t="str">
        <x:v>nota_geografica</x:v>
      </x:c>
      <x:c r="AB1" s="4" t="str">
        <x:v>fuentes_internas</x:v>
      </x:c>
      <x:c r="AC1" s="4" t="str">
        <x:v>validacion</x:v>
      </x:c>
    </x:row>
    <x:row r="2">
      <x:c r="A2" t="str">
        <x:v>1</x:v>
      </x:c>
      <x:c r="B2" t="str">
        <x:v>Empresa</x:v>
      </x:c>
      <x:c r="C2" s="8" t="str">
        <x:v>AyA – Dirección de Mejoramiento de Sistemas</x:v>
      </x:c>
      <x:c r="D2" t="str">
        <x:v>AyA</x:v>
      </x:c>
      <x:c r="E2" t="str">
        <x:v>Costa Rica</x:v>
      </x:c>
      <x:c r="F2" t="str">
        <x:v>San José</x:v>
      </x:c>
      <x:c r="G2" t="str">
        <x:v>San José</x:v>
      </x:c>
      <x:c r="H2" s="10" t="n">
        <x:v>9.952180991628238</x:v>
      </x:c>
      <x:c r="I2" s="10" t="n">
        <x:v>-84.09912805674576</x:v>
      </x:c>
      <x:c r="J2" t="str">
        <x:v>2016</x:v>
      </x:c>
      <x:c r="K2" t="str"/>
      <x:c r="L2" t="str">
        <x:v>Empleo</x:v>
      </x:c>
      <x:c r="M2" t="str">
        <x:v>En curso</x:v>
      </x:c>
      <x:c r="N2" t="str">
        <x:v>Director / Ingeniero</x:v>
      </x:c>
      <x:c r="O2" s="8" t="str">
        <x:v>Optimización metropolitana y dirección de equipos técnicos</x:v>
      </x:c>
      <x:c r="P2" t="str">
        <x:v>Power BI,Python,ArcGIS,SCADA</x:v>
      </x:c>
      <x:c r="Q2" t="str">
        <x:v>1.4 M personas</x:v>
      </x:c>
      <x:c r="R2" s="8" t="str">
        <x:v>Referencia territorial aproximada</x:v>
      </x:c>
      <x:c r="S2" t="str">
        <x:v>yes</x:v>
      </x:c>
      <x:c r="T2" t="str">
        <x:v>CV 2025/2026</x:v>
      </x:c>
      <x:c r="U2" s="8" t="str"/>
      <x:c r="V2" t="str">
        <x:v>https://www.google.com/maps/search/?api=1&amp;query=9.95218099162824%2C-84.09912805674576</x:v>
      </x:c>
      <x:c r="W2" t="str"/>
      <x:c r="X2" s="8" t="str">
        <x:v>Sede</x:v>
      </x:c>
      <x:c r="Y2" s="8" t="str">
        <x:v>Según CV</x:v>
      </x:c>
      <x:c r="Z2" s="8" t="str">
        <x:v>Optimización metropolitana y dirección de equipos técnicos</x:v>
      </x:c>
      <x:c r="AA2" s="8" t="str">
        <x:v>Punto de referencia aportado por el titular. Para programas, estudios o redes multisede no representa necesariamente una instalación puntual.</x:v>
      </x:c>
      <x:c r="AB2" s="8" t="str">
        <x:v>CV 2024/2025/2026</x:v>
      </x:c>
      <x:c r="AC2" t="str">
        <x:v>Coordenada revisada y proporcionada por el titular, 2026-10-07</x:v>
      </x:c>
    </x:row>
    <x:row r="3">
      <x:c r="A3" t="str">
        <x:v>2</x:v>
      </x:c>
      <x:c r="B3" t="str">
        <x:v>Empresa</x:v>
      </x:c>
      <x:c r="C3" s="8" t="str">
        <x:v>Universidad Latina</x:v>
      </x:c>
      <x:c r="D3" t="str">
        <x:v>Universidad Latina</x:v>
      </x:c>
      <x:c r="E3" t="str">
        <x:v>Costa Rica</x:v>
      </x:c>
      <x:c r="F3" t="str">
        <x:v>San José</x:v>
      </x:c>
      <x:c r="G3" t="str">
        <x:v>San José</x:v>
      </x:c>
      <x:c r="H3" s="10" t="n">
        <x:v>9.933137472963232</x:v>
      </x:c>
      <x:c r="I3" s="10" t="n">
        <x:v>-84.0435391275236</x:v>
      </x:c>
      <x:c r="J3" t="str">
        <x:v>2018</x:v>
      </x:c>
      <x:c r="K3" t="str"/>
      <x:c r="L3" t="str">
        <x:v>Docencia</x:v>
      </x:c>
      <x:c r="M3" t="str">
        <x:v>En curso</x:v>
      </x:c>
      <x:c r="N3" t="str">
        <x:v>Profesor de hidráulica</x:v>
      </x:c>
      <x:c r="O3" s="8" t="str">
        <x:v>Mecánica de fluidos e ingeniería sanitaria</x:v>
      </x:c>
      <x:c r="P3" t="str">
        <x:v>HEC-RAS,Hydraulics</x:v>
      </x:c>
      <x:c r="Q3" t="str"/>
      <x:c r="R3" s="8" t="str">
        <x:v>Referencia territorial aproximada</x:v>
      </x:c>
      <x:c r="S3" t="str">
        <x:v>yes</x:v>
      </x:c>
      <x:c r="T3" t="str">
        <x:v>CV 2025/2026</x:v>
      </x:c>
      <x:c r="U3" s="8" t="str"/>
      <x:c r="V3" t="str">
        <x:v>https://www.google.com/maps/search/?api=1&amp;query=9.93313747296323%2C-84.04353912752360</x:v>
      </x:c>
      <x:c r="W3" t="str"/>
      <x:c r="X3" s="8" t="str">
        <x:v>Sede</x:v>
      </x:c>
      <x:c r="Y3" s="8" t="str">
        <x:v>Según CV</x:v>
      </x:c>
      <x:c r="Z3" s="8" t="str">
        <x:v>Mecánica de fluidos e ingeniería sanitaria</x:v>
      </x:c>
      <x:c r="AA3" s="8" t="str">
        <x:v>Punto de referencia aportado por el titular. Para programas, estudios o redes multisede no representa necesariamente una instalación puntual.</x:v>
      </x:c>
      <x:c r="AB3" s="8" t="str">
        <x:v>CV 2024/2025/2026</x:v>
      </x:c>
      <x:c r="AC3" t="str">
        <x:v>Coordenada revisada y proporcionada por el titular, 2026-10-07</x:v>
      </x:c>
    </x:row>
    <x:row r="4">
      <x:c r="A4" t="str">
        <x:v>3</x:v>
      </x:c>
      <x:c r="B4" t="str">
        <x:v>Empresa</x:v>
      </x:c>
      <x:c r="C4" s="8" t="str">
        <x:v>Santos CMI</x:v>
      </x:c>
      <x:c r="D4" t="str">
        <x:v>Santos CMI</x:v>
      </x:c>
      <x:c r="E4" t="str">
        <x:v>Costa Rica</x:v>
      </x:c>
      <x:c r="F4" t="str">
        <x:v>San José</x:v>
      </x:c>
      <x:c r="G4" t="str">
        <x:v>San José</x:v>
      </x:c>
      <x:c r="H4" s="10" t="n">
        <x:v>9.946063562539855</x:v>
      </x:c>
      <x:c r="I4" s="10" t="n">
        <x:v>-84.19570527219565</x:v>
      </x:c>
      <x:c r="J4" t="str">
        <x:v>2013</x:v>
      </x:c>
      <x:c r="K4" t="str">
        <x:v>2015</x:v>
      </x:c>
      <x:c r="L4" t="str">
        <x:v>Empleo</x:v>
      </x:c>
      <x:c r="M4" t="str">
        <x:v>Finalizado</x:v>
      </x:c>
      <x:c r="N4" t="str">
        <x:v>Ingeniero civil junior</x:v>
      </x:c>
      <x:c r="O4" s="8" t="str">
        <x:v>Diseño de infraestructura para proyectos energéticos</x:v>
      </x:c>
      <x:c r="P4" t="str">
        <x:v>Civil 3D,Hydrology</x:v>
      </x:c>
      <x:c r="Q4" t="str"/>
      <x:c r="R4" s="8" t="str">
        <x:v>Referencia territorial aproximada</x:v>
      </x:c>
      <x:c r="S4" t="str">
        <x:v>yes</x:v>
      </x:c>
      <x:c r="T4" t="str">
        <x:v>CV 2024/2025</x:v>
      </x:c>
      <x:c r="U4" s="8" t="str"/>
      <x:c r="V4" t="str">
        <x:v>https://www.google.com/maps/search/?api=1&amp;query=9.94606356253986%2C-84.19570527219565</x:v>
      </x:c>
      <x:c r="W4" t="str"/>
      <x:c r="X4" s="8" t="str">
        <x:v>Sede</x:v>
      </x:c>
      <x:c r="Y4" s="8" t="str">
        <x:v>Según CV</x:v>
      </x:c>
      <x:c r="Z4" s="8" t="str">
        <x:v>Diseño de infraestructura para proyectos energéticos</x:v>
      </x:c>
      <x:c r="AA4" s="8" t="str">
        <x:v>Punto de referencia aportado por el titular. Para programas, estudios o redes multisede no representa necesariamente una instalación puntual.</x:v>
      </x:c>
      <x:c r="AB4" s="8" t="str">
        <x:v>CV 2024/2025/2026</x:v>
      </x:c>
      <x:c r="AC4" t="str">
        <x:v>Coordenada revisada y proporcionada por el titular, 2026-10-07</x:v>
      </x:c>
    </x:row>
    <x:row r="5">
      <x:c r="A5" t="str">
        <x:v>4</x:v>
      </x:c>
      <x:c r="B5" t="str">
        <x:v>Empresa</x:v>
      </x:c>
      <x:c r="C5" s="8" t="str">
        <x:v>Municipalidad de Oreamuno</x:v>
      </x:c>
      <x:c r="D5" t="str">
        <x:v>Municipalidad de Oreamuno</x:v>
      </x:c>
      <x:c r="E5" t="str">
        <x:v>Costa Rica</x:v>
      </x:c>
      <x:c r="F5" t="str">
        <x:v>Cartago</x:v>
      </x:c>
      <x:c r="G5" t="str">
        <x:v>San Rafael de Oreamuno</x:v>
      </x:c>
      <x:c r="H5" s="10" t="n">
        <x:v>9.868918971436047</x:v>
      </x:c>
      <x:c r="I5" s="10" t="n">
        <x:v>-83.9042102677281</x:v>
      </x:c>
      <x:c r="J5" t="str">
        <x:v>2015</x:v>
      </x:c>
      <x:c r="K5" t="str">
        <x:v>2015</x:v>
      </x:c>
      <x:c r="L5" t="str">
        <x:v>Empleo</x:v>
      </x:c>
      <x:c r="M5" t="str">
        <x:v>Finalizado</x:v>
      </x:c>
      <x:c r="N5" t="str">
        <x:v>Director suplente UTMV</x:v>
      </x:c>
      <x:c r="O5" s="8" t="str">
        <x:v>Administración vial y proyectos cantonales</x:v>
      </x:c>
      <x:c r="P5" t="str">
        <x:v>Project Management,Procurement</x:v>
      </x:c>
      <x:c r="Q5" t="str">
        <x:v>₡600 M licitaciones</x:v>
      </x:c>
      <x:c r="R5" s="8" t="str">
        <x:v>Referencia territorial aproximada</x:v>
      </x:c>
      <x:c r="S5" t="str">
        <x:v>yes</x:v>
      </x:c>
      <x:c r="T5" t="str">
        <x:v>CV 2025</x:v>
      </x:c>
      <x:c r="U5" s="8" t="str"/>
      <x:c r="V5" t="str">
        <x:v>https://www.google.com/maps/search/?api=1&amp;query=9.86891897143605%2C-83.90421026772810</x:v>
      </x:c>
      <x:c r="W5" t="str"/>
      <x:c r="X5" s="8" t="str">
        <x:v>Sede</x:v>
      </x:c>
      <x:c r="Y5" s="8" t="str">
        <x:v>Según CV</x:v>
      </x:c>
      <x:c r="Z5" s="8" t="str">
        <x:v>Administración vial y proyectos cantonales</x:v>
      </x:c>
      <x:c r="AA5" s="8" t="str">
        <x:v>Punto de referencia aportado por el titular. Para programas, estudios o redes multisede no representa necesariamente una instalación puntual.</x:v>
      </x:c>
      <x:c r="AB5" s="8" t="str">
        <x:v>CV 2024/2025/2026</x:v>
      </x:c>
      <x:c r="AC5" t="str">
        <x:v>Coordenada revisada y proporcionada por el titular, 2026-10-07</x:v>
      </x:c>
    </x:row>
    <x:row r="6">
      <x:c r="A6" t="str">
        <x:v>5</x:v>
      </x:c>
      <x:c r="B6" t="str">
        <x:v>Empresa</x:v>
      </x:c>
      <x:c r="C6" s="8" t="str">
        <x:v>SCH Consultoría y Construcción</x:v>
      </x:c>
      <x:c r="D6" t="str">
        <x:v>SCH Consultoría y Construcción</x:v>
      </x:c>
      <x:c r="E6" t="str">
        <x:v>Costa Rica</x:v>
      </x:c>
      <x:c r="F6" t="str">
        <x:v>San José</x:v>
      </x:c>
      <x:c r="G6" t="str">
        <x:v>San José</x:v>
      </x:c>
      <x:c r="H6" s="10" t="n">
        <x:v>9.96645430288732</x:v>
      </x:c>
      <x:c r="I6" s="10" t="n">
        <x:v>-84.36234267645101</x:v>
      </x:c>
      <x:c r="J6" t="str">
        <x:v>2015</x:v>
      </x:c>
      <x:c r="K6" t="str">
        <x:v>2016</x:v>
      </x:c>
      <x:c r="L6" t="str">
        <x:v>Empleo</x:v>
      </x:c>
      <x:c r="M6" t="str">
        <x:v>Finalizado</x:v>
      </x:c>
      <x:c r="N6" t="str">
        <x:v>Ingeniero de proyecto</x:v>
      </x:c>
      <x:c r="O6" s="8" t="str">
        <x:v>Gestión de remodelaciones industriales</x:v>
      </x:c>
      <x:c r="P6" t="str">
        <x:v>Project Management</x:v>
      </x:c>
      <x:c r="Q6" t="str"/>
      <x:c r="R6" s="8" t="str">
        <x:v>Referencia territorial aproximada</x:v>
      </x:c>
      <x:c r="S6" t="str">
        <x:v>yes</x:v>
      </x:c>
      <x:c r="T6" t="str">
        <x:v>CV 2025</x:v>
      </x:c>
      <x:c r="U6" s="8" t="str"/>
      <x:c r="V6" t="str">
        <x:v>https://www.google.com/maps/search/?api=1&amp;query=9.96645430288732%2C-84.36234267645101</x:v>
      </x:c>
      <x:c r="W6" t="str"/>
      <x:c r="X6" s="8" t="str">
        <x:v>Sede</x:v>
      </x:c>
      <x:c r="Y6" s="8" t="str">
        <x:v>Según CV</x:v>
      </x:c>
      <x:c r="Z6" s="8" t="str">
        <x:v>Gestión de remodelaciones industriales</x:v>
      </x:c>
      <x:c r="AA6" s="8" t="str">
        <x:v>Punto de referencia aportado por el titular. Para programas, estudios o redes multisede no representa necesariamente una instalación puntual.</x:v>
      </x:c>
      <x:c r="AB6" s="8" t="str">
        <x:v>CV 2024/2025/2026</x:v>
      </x:c>
      <x:c r="AC6" t="str">
        <x:v>Coordenada revisada y proporcionada por el titular, 2026-10-07</x:v>
      </x:c>
    </x:row>
    <x:row r="7">
      <x:c r="A7" t="str">
        <x:v>6</x:v>
      </x:c>
      <x:c r="B7" t="str">
        <x:v>Empresa</x:v>
      </x:c>
      <x:c r="C7" s="8" t="str">
        <x:v>FUPROVI</x:v>
      </x:c>
      <x:c r="D7" t="str">
        <x:v>FUPROVI</x:v>
      </x:c>
      <x:c r="E7" t="str">
        <x:v>Costa Rica</x:v>
      </x:c>
      <x:c r="F7" t="str">
        <x:v>San José</x:v>
      </x:c>
      <x:c r="G7" t="str">
        <x:v>San José</x:v>
      </x:c>
      <x:c r="H7" s="10" t="n">
        <x:v>9.939017744116914</x:v>
      </x:c>
      <x:c r="I7" s="10" t="n">
        <x:v>-84.05919790858356</x:v>
      </x:c>
      <x:c r="J7" t="str">
        <x:v>2012</x:v>
      </x:c>
      <x:c r="K7" t="str">
        <x:v>2013</x:v>
      </x:c>
      <x:c r="L7" t="str">
        <x:v>Empleo</x:v>
      </x:c>
      <x:c r="M7" t="str">
        <x:v>Finalizado</x:v>
      </x:c>
      <x:c r="N7" t="str">
        <x:v>Asistente de ingeniería</x:v>
      </x:c>
      <x:c r="O7" s="8" t="str">
        <x:v>Supervisión de infraestructura residencial</x:v>
      </x:c>
      <x:c r="P7" t="str">
        <x:v>Construction</x:v>
      </x:c>
      <x:c r="Q7" t="str"/>
      <x:c r="R7" s="8" t="str">
        <x:v>Referencia territorial aproximada</x:v>
      </x:c>
      <x:c r="S7" t="str">
        <x:v>yes</x:v>
      </x:c>
      <x:c r="T7" t="str">
        <x:v>CV 2025</x:v>
      </x:c>
      <x:c r="U7" s="8" t="str"/>
      <x:c r="V7" t="str">
        <x:v>https://www.google.com/maps/search/?api=1&amp;query=9.93901774411691%2C-84.05919790858356</x:v>
      </x:c>
      <x:c r="W7" t="str"/>
      <x:c r="X7" s="8" t="str">
        <x:v>Sede</x:v>
      </x:c>
      <x:c r="Y7" s="8" t="str">
        <x:v>Según CV</x:v>
      </x:c>
      <x:c r="Z7" s="8" t="str">
        <x:v>Supervisión de infraestructura residencial</x:v>
      </x:c>
      <x:c r="AA7" s="8" t="str">
        <x:v>Punto de referencia aportado por el titular. Para programas, estudios o redes multisede no representa necesariamente una instalación puntual.</x:v>
      </x:c>
      <x:c r="AB7" s="8" t="str">
        <x:v>CV 2024/2025/2026</x:v>
      </x:c>
      <x:c r="AC7" t="str">
        <x:v>Coordenada revisada y proporcionada por el titular, 2026-10-07</x:v>
      </x:c>
    </x:row>
    <x:row r="8">
      <x:c r="A8" t="str">
        <x:v>7</x:v>
      </x:c>
      <x:c r="B8" t="str">
        <x:v>Proyecto</x:v>
      </x:c>
      <x:c r="C8" s="8" t="str">
        <x:v>Fuente Zamora</x:v>
      </x:c>
      <x:c r="D8" t="str">
        <x:v>AyA</x:v>
      </x:c>
      <x:c r="E8" t="str">
        <x:v>Costa Rica</x:v>
      </x:c>
      <x:c r="F8" t="str">
        <x:v>Heredia</x:v>
      </x:c>
      <x:c r="G8" t="str">
        <x:v>Belén / Puente Mulas</x:v>
      </x:c>
      <x:c r="H8" s="10" t="n">
        <x:v>9.972706975052512</x:v>
      </x:c>
      <x:c r="I8" s="10" t="n">
        <x:v>-84.18383232588455</x:v>
      </x:c>
      <x:c r="J8" t="str">
        <x:v>2025</x:v>
      </x:c>
      <x:c r="K8" t="str"/>
      <x:c r="L8" t="str">
        <x:v>Agua potable</x:v>
      </x:c>
      <x:c r="M8" t="str">
        <x:v>Operación</x:v>
      </x:c>
      <x:c r="N8" t="str">
        <x:v>Coordinación técnica</x:v>
      </x:c>
      <x:c r="O8" s="8" t="str">
        <x:v>Integración de nueva fuente al sistema Puente Mulas</x:v>
      </x:c>
      <x:c r="P8" t="str">
        <x:v>Hydraulics</x:v>
      </x:c>
      <x:c r="Q8" t="str">
        <x:v>+250 L/s</x:v>
      </x:c>
      <x:c r="R8" s="8" t="str">
        <x:v>Municipio aproximado</x:v>
      </x:c>
      <x:c r="S8" t="str">
        <x:v>yes</x:v>
      </x:c>
      <x:c r="T8" t="str">
        <x:v>CV 2025/2026 | Trayectoria 2017-2026</x:v>
      </x:c>
      <x:c r="U8" s="8" t="str">
        <x:v>https://www.santaanahoy.com/m%C3%A1s-agua-para-m%C3%A1s-personas-de-la-gam</x:v>
      </x:c>
      <x:c r="V8" t="str">
        <x:v>https://www.google.com/maps/search/?api=1&amp;query=9.97270697505251%2C-84.18383232588455</x:v>
      </x:c>
      <x:c r="W8" t="str"/>
      <x:c r="X8" s="8" t="str">
        <x:v>Zona</x:v>
      </x:c>
      <x:c r="Y8" s="8" t="str">
        <x:v>Alta</x:v>
      </x:c>
      <x:c r="Z8" s="8" t="str">
        <x:v>Apoyo a puesta en marcha, medición y análisis de caudal; evaluación del aporte de la fuente y su efecto sobre disponibilidad y estabilidad del sistema.</x:v>
      </x:c>
      <x:c r="AA8" s="8" t="str">
        <x:v>Punto de referencia aportado por el titular. Para programas, estudios o redes multisede no representa necesariamente una instalación puntual.</x:v>
      </x:c>
      <x:c r="AB8" s="8" t="str">
        <x:v>turn6search563; turn6search455</x:v>
      </x:c>
      <x:c r="AC8" t="str">
        <x:v>Coordenada revisada y proporcionada por el titular, 2026-10-07</x:v>
      </x:c>
    </x:row>
    <x:row r="9">
      <x:c r="A9" t="str">
        <x:v>8</x:v>
      </x:c>
      <x:c r="B9" t="str">
        <x:v>Proyecto</x:v>
      </x:c>
      <x:c r="C9" s="8" t="str">
        <x:v>Planta potabilizadora Cañas-Bebedero</x:v>
      </x:c>
      <x:c r="D9" t="str">
        <x:v>AyA</x:v>
      </x:c>
      <x:c r="E9" t="str">
        <x:v>Costa Rica</x:v>
      </x:c>
      <x:c r="F9" t="str">
        <x:v>Guanacaste</x:v>
      </x:c>
      <x:c r="G9" t="str">
        <x:v>Bebedero</x:v>
      </x:c>
      <x:c r="H9" s="10" t="n">
        <x:v>10.459032589649608</x:v>
      </x:c>
      <x:c r="I9" s="10" t="n">
        <x:v>-85.0930094542223</x:v>
      </x:c>
      <x:c r="J9" t="str">
        <x:v>2016</x:v>
      </x:c>
      <x:c r="K9" t="str">
        <x:v>2020</x:v>
      </x:c>
      <x:c r="L9" t="str">
        <x:v>Agua potable</x:v>
      </x:c>
      <x:c r="M9" t="str">
        <x:v>Finalizado</x:v>
      </x:c>
      <x:c r="N9" t="str">
        <x:v>Pruebas y puesta en marcha</x:v>
      </x:c>
      <x:c r="O9" s="8" t="str">
        <x:v>Tratamiento para control de arsénico</x:v>
      </x:c>
      <x:c r="P9" t="str">
        <x:v>Water Treatment</x:v>
      </x:c>
      <x:c r="Q9" t="str">
        <x:v>126 L/s</x:v>
      </x:c>
      <x:c r="R9" s="8" t="str">
        <x:v>Referencia territorial aproximada</x:v>
      </x:c>
      <x:c r="S9" t="str">
        <x:v>yes</x:v>
      </x:c>
      <x:c r="T9" t="str">
        <x:v>CV 2025 | Trayectoria 2017-2026</x:v>
      </x:c>
      <x:c r="U9" s="8" t="str"/>
      <x:c r="V9" t="str">
        <x:v>https://www.google.com/maps/search/?api=1&amp;query=10.45903258964961%2C-85.09300945422230</x:v>
      </x:c>
      <x:c r="W9" t="str"/>
      <x:c r="X9" s="8" t="str">
        <x:v>Zona</x:v>
      </x:c>
      <x:c r="Y9" s="8" t="str">
        <x:v>Alta</x:v>
      </x:c>
      <x:c r="Z9" s="8" t="str">
        <x:v>Actualización de matriz del proyecto, seguimiento de información para Mesa Chorotega, coordinación con PMO e incorporación de estado y programación del proyecto.</x:v>
      </x:c>
      <x:c r="AA9" s="8" t="str">
        <x:v>Punto de referencia aportado por el titular. Para programas, estudios o redes multisede no representa necesariamente una instalación puntual.</x:v>
      </x:c>
      <x:c r="AB9" s="8" t="str">
        <x:v>turn6search493</x:v>
      </x:c>
      <x:c r="AC9" t="str">
        <x:v>Coordenada revisada y proporcionada por el titular, 2026-10-07</x:v>
      </x:c>
    </x:row>
    <x:row r="10">
      <x:c r="A10" t="str">
        <x:v>9</x:v>
      </x:c>
      <x:c r="B10" t="str">
        <x:v>Proyecto</x:v>
      </x:c>
      <x:c r="C10" s="8" t="str">
        <x:v>Acueducto Sardinal–El Coco–Ocotal</x:v>
      </x:c>
      <x:c r="D10" t="str">
        <x:v>AyA</x:v>
      </x:c>
      <x:c r="E10" t="str">
        <x:v>Costa Rica</x:v>
      </x:c>
      <x:c r="F10" t="str">
        <x:v>Guanacaste</x:v>
      </x:c>
      <x:c r="G10" t="str">
        <x:v>Sardinal</x:v>
      </x:c>
      <x:c r="H10" s="10" t="n">
        <x:v>10.519669341620059</x:v>
      </x:c>
      <x:c r="I10" s="10" t="n">
        <x:v>-85.6533411785515</x:v>
      </x:c>
      <x:c r="J10" t="str">
        <x:v>2016</x:v>
      </x:c>
      <x:c r="K10" t="str">
        <x:v>2022</x:v>
      </x:c>
      <x:c r="L10" t="str">
        <x:v>Agua potable</x:v>
      </x:c>
      <x:c r="M10" t="str">
        <x:v>Finalizado</x:v>
      </x:c>
      <x:c r="N10" t="str">
        <x:v>Diseño y supervisión</x:v>
      </x:c>
      <x:c r="O10" s="8" t="str">
        <x:v>Sistema de pozos y almacenamiento</x:v>
      </x:c>
      <x:c r="P10" t="str">
        <x:v>Hydraulics</x:v>
      </x:c>
      <x:c r="Q10" t="str">
        <x:v>70 L/s</x:v>
      </x:c>
      <x:c r="R10" s="8" t="str">
        <x:v>Referencia territorial aproximada</x:v>
      </x:c>
      <x:c r="S10" t="str">
        <x:v>yes</x:v>
      </x:c>
      <x:c r="T10" t="str">
        <x:v>CV 2025</x:v>
      </x:c>
      <x:c r="U10" s="8" t="str"/>
      <x:c r="V10" t="str">
        <x:v>https://www.google.com/maps/search/?api=1&amp;query=10.51966934162006%2C-85.65334117855150</x:v>
      </x:c>
      <x:c r="W10" t="str"/>
      <x:c r="X10" s="8" t="str">
        <x:v>Zona</x:v>
      </x:c>
      <x:c r="Y10" s="8" t="str">
        <x:v>Según CV</x:v>
      </x:c>
      <x:c r="Z10" s="8" t="str">
        <x:v>Sistema de pozos y almacenamiento</x:v>
      </x:c>
      <x:c r="AA10" s="8" t="str">
        <x:v>Punto de referencia aportado por el titular. Para programas, estudios o redes multisede no representa necesariamente una instalación puntual.</x:v>
      </x:c>
      <x:c r="AB10" s="8" t="str">
        <x:v>CV 2024/2025/2026</x:v>
      </x:c>
      <x:c r="AC10" t="str">
        <x:v>Coordenada revisada y proporcionada por el titular, 2026-10-07</x:v>
      </x:c>
    </x:row>
    <x:row r="11">
      <x:c r="A11" t="str">
        <x:v>10</x:v>
      </x:c>
      <x:c r="B11" t="str">
        <x:v>Proyecto</x:v>
      </x:c>
      <x:c r="C11" s="8" t="str">
        <x:v>Acueducto regional Nimboyores</x:v>
      </x:c>
      <x:c r="D11" t="str">
        <x:v>AyA</x:v>
      </x:c>
      <x:c r="E11" t="str">
        <x:v>Costa Rica</x:v>
      </x:c>
      <x:c r="F11" t="str">
        <x:v>Guanacaste</x:v>
      </x:c>
      <x:c r="G11" t="str">
        <x:v>Tamarindo</x:v>
      </x:c>
      <x:c r="H11" s="10" t="n">
        <x:v>10.365783983782595</x:v>
      </x:c>
      <x:c r="I11" s="10" t="n">
        <x:v>-85.69756378618713</x:v>
      </x:c>
      <x:c r="J11" t="str">
        <x:v>2016</x:v>
      </x:c>
      <x:c r="K11" t="str">
        <x:v>2022</x:v>
      </x:c>
      <x:c r="L11" t="str">
        <x:v>Agua potable</x:v>
      </x:c>
      <x:c r="M11" t="str">
        <x:v>Diseño</x:v>
      </x:c>
      <x:c r="N11" t="str">
        <x:v>Actualización de diseño</x:v>
      </x:c>
      <x:c r="O11" s="8" t="str">
        <x:v>Conducción regional y etapas de infraestructura</x:v>
      </x:c>
      <x:c r="P11" t="str">
        <x:v>WaterGEMS,Hydraulics</x:v>
      </x:c>
      <x:c r="Q11" t="str">
        <x:v>35 km</x:v>
      </x:c>
      <x:c r="R11" s="8" t="str">
        <x:v>Referencia territorial aproximada</x:v>
      </x:c>
      <x:c r="S11" t="str">
        <x:v>yes</x:v>
      </x:c>
      <x:c r="T11" t="str">
        <x:v>CV 2025</x:v>
      </x:c>
      <x:c r="U11" s="8" t="str"/>
      <x:c r="V11" t="str">
        <x:v>https://www.google.com/maps/search/?api=1&amp;query=10.36578398378260%2C-85.69756378618713</x:v>
      </x:c>
      <x:c r="W11" t="str"/>
      <x:c r="X11" s="8" t="str">
        <x:v>Zona</x:v>
      </x:c>
      <x:c r="Y11" s="8" t="str">
        <x:v>Según CV</x:v>
      </x:c>
      <x:c r="Z11" s="8" t="str">
        <x:v>Conducción regional y etapas de infraestructura</x:v>
      </x:c>
      <x:c r="AA11" s="8" t="str">
        <x:v>Punto de referencia aportado por el titular. Para programas, estudios o redes multisede no representa necesariamente una instalación puntual.</x:v>
      </x:c>
      <x:c r="AB11" s="8" t="str">
        <x:v>CV 2024/2025/2026</x:v>
      </x:c>
      <x:c r="AC11" t="str">
        <x:v>Coordenada revisada y proporcionada por el titular, 2026-10-07</x:v>
      </x:c>
    </x:row>
    <x:row r="12">
      <x:c r="A12" t="str">
        <x:v>11</x:v>
      </x:c>
      <x:c r="B12" t="str">
        <x:v>Proyecto</x:v>
      </x:c>
      <x:c r="C12" s="8" t="str">
        <x:v>Campañas de sectorización GAM</x:v>
      </x:c>
      <x:c r="D12" t="str">
        <x:v>AyA</x:v>
      </x:c>
      <x:c r="E12" t="str">
        <x:v>Costa Rica</x:v>
      </x:c>
      <x:c r="F12" t="str">
        <x:v>San José</x:v>
      </x:c>
      <x:c r="G12" t="str">
        <x:v>Alajuelita</x:v>
      </x:c>
      <x:c r="H12" s="10" t="n">
        <x:v>9.928226400465373</x:v>
      </x:c>
      <x:c r="I12" s="10" t="n">
        <x:v>-84.08909995879816</x:v>
      </x:c>
      <x:c r="J12" t="str">
        <x:v>2024</x:v>
      </x:c>
      <x:c r="K12" t="str">
        <x:v>2026</x:v>
      </x:c>
      <x:c r="L12" t="str">
        <x:v>Eficiencia hídrica</x:v>
      </x:c>
      <x:c r="M12" t="str">
        <x:v>En curso</x:v>
      </x:c>
      <x:c r="N12" t="str">
        <x:v>Liderazgo técnico</x:v>
      </x:c>
      <x:c r="O12" s="8" t="str">
        <x:v>Análisis de caudal nocturno y control de pérdidas</x:v>
      </x:c>
      <x:c r="P12" t="str">
        <x:v>SCADA,Power BI,GIS</x:v>
      </x:c>
      <x:c r="Q12" t="str">
        <x:v>700 m³/d recuperados</x:v>
      </x:c>
      <x:c r="R12" s="8" t="str">
        <x:v>Referencia territorial aproximada</x:v>
      </x:c>
      <x:c r="S12" t="str">
        <x:v>yes</x:v>
      </x:c>
      <x:c r="T12" t="str">
        <x:v>CV 2025/2026 | Trayectoria 2017-2026</x:v>
      </x:c>
      <x:c r="U12" s="8" t="str"/>
      <x:c r="V12" t="str">
        <x:v>https://www.google.com/maps/search/?api=1&amp;query=9.92822640046537%2C-84.08909995879816</x:v>
      </x:c>
      <x:c r="W12" t="str"/>
      <x:c r="X12" s="8" t="str">
        <x:v>Zona</x:v>
      </x:c>
      <x:c r="Y12" s="8" t="str">
        <x:v>Alta</x:v>
      </x:c>
      <x:c r="Z12" s="8" t="str">
        <x:v>Elaboración y seguimiento de planes e informes técnicos sobre sectorización, presiones, fugas, continuidad, cronogramas y acciones de corto, mediano y largo plazo.</x:v>
      </x:c>
      <x:c r="AA12" s="8" t="str">
        <x:v>Punto de referencia aportado por el titular. Para programas, estudios o redes multisede no representa necesariamente una instalación puntual.</x:v>
      </x:c>
      <x:c r="AB12" s="8" t="str">
        <x:v>turn6search447; turn6search497; turn2search369</x:v>
      </x:c>
      <x:c r="AC12" t="str">
        <x:v>Coordenada revisada y proporcionada por el titular, 2026-10-07</x:v>
      </x:c>
    </x:row>
    <x:row r="13">
      <x:c r="A13" t="str">
        <x:v>12</x:v>
      </x:c>
      <x:c r="B13" t="str">
        <x:v>Proyecto</x:v>
      </x:c>
      <x:c r="C13" s="8" t="str">
        <x:v>PRAGAM – planificación metropolitana</x:v>
      </x:c>
      <x:c r="D13" t="str">
        <x:v>AyA</x:v>
      </x:c>
      <x:c r="E13" t="str">
        <x:v>Costa Rica</x:v>
      </x:c>
      <x:c r="F13" t="str">
        <x:v>San José</x:v>
      </x:c>
      <x:c r="G13" t="str">
        <x:v>San José</x:v>
      </x:c>
      <x:c r="H13" s="10" t="n">
        <x:v>9.939163048006971</x:v>
      </x:c>
      <x:c r="I13" s="10" t="n">
        <x:v>-84.1183104773215</x:v>
      </x:c>
      <x:c r="J13" t="str">
        <x:v>2025</x:v>
      </x:c>
      <x:c r="K13" t="str">
        <x:v>2030</x:v>
      </x:c>
      <x:c r="L13" t="str">
        <x:v>Transformación digital</x:v>
      </x:c>
      <x:c r="M13" t="str">
        <x:v>En curso</x:v>
      </x:c>
      <x:c r="N13" t="str">
        <x:v>Análisis y visualización</x:v>
      </x:c>
      <x:c r="O13" s="8" t="str">
        <x:v>Portafolio de proyectos de mejoramiento hídrico</x:v>
      </x:c>
      <x:c r="P13" t="str">
        <x:v>Power BI,ArcGIS,Python</x:v>
      </x:c>
      <x:c r="Q13" t="str">
        <x:v>40 proyectos referenciados</x:v>
      </x:c>
      <x:c r="R13" s="8" t="str">
        <x:v>Referencia territorial aproximada</x:v>
      </x:c>
      <x:c r="S13" t="str">
        <x:v>yes</x:v>
      </x:c>
      <x:c r="T13" t="str">
        <x:v>CV 2025 | Trayectoria 2017-2026</x:v>
      </x:c>
      <x:c r="U13" s="8" t="str"/>
      <x:c r="V13" t="str">
        <x:v>https://www.google.com/maps/search/?api=1&amp;query=9.93916304800697%2C-84.11831047732150</x:v>
      </x:c>
      <x:c r="W13" t="str"/>
      <x:c r="X13" s="8" t="str">
        <x:v>Zona</x:v>
      </x:c>
      <x:c r="Y13" s="8" t="str">
        <x:v>Alta</x:v>
      </x:c>
      <x:c r="Z13" s="8" t="str">
        <x:v>Apoyo en mapa/visor de proyectos, etapas del ciclo de inversión, cronogramas, evaluación de alternativas y articulación de iniciativas de acción inmediata, corto, mediano y largo plazo.</x:v>
      </x:c>
      <x:c r="AA13" s="8" t="str">
        <x:v>Punto de referencia aportado por el titular. Para programas, estudios o redes multisede no representa necesariamente una instalación puntual.</x:v>
      </x:c>
      <x:c r="AB13" s="8" t="str">
        <x:v>turn6search443; turn6search446; turn6search433</x:v>
      </x:c>
      <x:c r="AC13" t="str">
        <x:v>Coordenada revisada y proporcionada por el titular, 2026-10-07</x:v>
      </x:c>
    </x:row>
    <x:row r="14">
      <x:c r="A14" t="str">
        <x:v>13</x:v>
      </x:c>
      <x:c r="B14" t="str">
        <x:v>Proyecto</x:v>
      </x:c>
      <x:c r="C14" s="8" t="str">
        <x:v>Visor de capacidad hídrica GAM</x:v>
      </x:c>
      <x:c r="D14" t="str">
        <x:v>AyA</x:v>
      </x:c>
      <x:c r="E14" t="str">
        <x:v>Costa Rica</x:v>
      </x:c>
      <x:c r="F14" t="str">
        <x:v>San José</x:v>
      </x:c>
      <x:c r="G14" t="str">
        <x:v>San José</x:v>
      </x:c>
      <x:c r="H14" s="10" t="n">
        <x:v>9.939163048006971</x:v>
      </x:c>
      <x:c r="I14" s="10" t="n">
        <x:v>-84.1183104773215</x:v>
      </x:c>
      <x:c r="J14" t="str">
        <x:v>2026</x:v>
      </x:c>
      <x:c r="K14" t="str"/>
      <x:c r="L14" t="str">
        <x:v>Transformación digital</x:v>
      </x:c>
      <x:c r="M14" t="str">
        <x:v>En desarrollo</x:v>
      </x:c>
      <x:c r="N14" t="str">
        <x:v>Desarrollo de aplicaciones</x:v>
      </x:c>
      <x:c r="O14" s="8" t="str">
        <x:v>Visor de capacidad hídrica y datos geoespaciales</x:v>
      </x:c>
      <x:c r="P14" t="str">
        <x:v>Python,Streamlit,ArcGIS,GitHub</x:v>
      </x:c>
      <x:c r="Q14" t="str"/>
      <x:c r="R14" s="8" t="str">
        <x:v>Referencia territorial aproximada</x:v>
      </x:c>
      <x:c r="S14" t="str">
        <x:v>yes</x:v>
      </x:c>
      <x:c r="T14" t="str">
        <x:v>Proyecto 2026</x:v>
      </x:c>
      <x:c r="U14" s="8" t="str"/>
      <x:c r="V14" t="str">
        <x:v>https://www.google.com/maps/search/?api=1&amp;query=9.93916304800697%2C-84.11831047732150</x:v>
      </x:c>
      <x:c r="W14" t="str"/>
      <x:c r="X14" s="8" t="str">
        <x:v>Zona</x:v>
      </x:c>
      <x:c r="Y14" s="8" t="str">
        <x:v>Según CV</x:v>
      </x:c>
      <x:c r="Z14" s="8" t="str">
        <x:v>Visor de capacidad hídrica y datos geoespaciales</x:v>
      </x:c>
      <x:c r="AA14" s="8" t="str">
        <x:v>Punto de referencia aportado por el titular. Para programas, estudios o redes multisede no representa necesariamente una instalación puntual.</x:v>
      </x:c>
      <x:c r="AB14" s="8" t="str">
        <x:v>CV 2024/2025/2026</x:v>
      </x:c>
      <x:c r="AC14" t="str">
        <x:v>Coordenada revisada y proporcionada por el titular, 2026-10-07</x:v>
      </x:c>
    </x:row>
    <x:row r="15">
      <x:c r="A15" t="str">
        <x:v>14</x:v>
      </x:c>
      <x:c r="B15" t="str">
        <x:v>Proyecto</x:v>
      </x:c>
      <x:c r="C15" s="8" t="str">
        <x:v>Aplicativo de revisión de caudalímetros</x:v>
      </x:c>
      <x:c r="D15" t="str">
        <x:v>AyA</x:v>
      </x:c>
      <x:c r="E15" t="str">
        <x:v>Costa Rica</x:v>
      </x:c>
      <x:c r="F15" t="str">
        <x:v>San José</x:v>
      </x:c>
      <x:c r="G15" t="str">
        <x:v>San José</x:v>
      </x:c>
      <x:c r="H15" s="10" t="n">
        <x:v>9.952180991628238</x:v>
      </x:c>
      <x:c r="I15" s="10" t="n">
        <x:v>-84.09912805674576</x:v>
      </x:c>
      <x:c r="J15" t="str">
        <x:v>2026</x:v>
      </x:c>
      <x:c r="K15" t="str"/>
      <x:c r="L15" t="str">
        <x:v>Transformación digital</x:v>
      </x:c>
      <x:c r="M15" t="str">
        <x:v>En desarrollo</x:v>
      </x:c>
      <x:c r="N15" t="str">
        <x:v>Desarrollo e integración</x:v>
      </x:c>
      <x:c r="O15" s="8" t="str">
        <x:v>Aplicación de seguimiento integrando GIS y revisión de equipos</x:v>
      </x:c>
      <x:c r="P15" t="str">
        <x:v>Python,SQL Server,Supabase,SharePoint</x:v>
      </x:c>
      <x:c r="Q15" t="str"/>
      <x:c r="R15" s="8" t="str">
        <x:v>Referencia territorial aproximada</x:v>
      </x:c>
      <x:c r="S15" t="str">
        <x:v>yes</x:v>
      </x:c>
      <x:c r="T15" t="str">
        <x:v>Proyecto 2026</x:v>
      </x:c>
      <x:c r="U15" s="8" t="str"/>
      <x:c r="V15" t="str">
        <x:v>https://www.google.com/maps/search/?api=1&amp;query=9.95218099162824%2C-84.09912805674576</x:v>
      </x:c>
      <x:c r="W15" t="str"/>
      <x:c r="X15" s="8" t="str">
        <x:v>Zona</x:v>
      </x:c>
      <x:c r="Y15" s="8" t="str">
        <x:v>Según CV</x:v>
      </x:c>
      <x:c r="Z15" s="8" t="str">
        <x:v>Aplicación de seguimiento integrando GIS y revisión de equipos</x:v>
      </x:c>
      <x:c r="AA15" s="8" t="str">
        <x:v>Punto de referencia aportado por el titular. Para programas, estudios o redes multisede no representa necesariamente una instalación puntual.</x:v>
      </x:c>
      <x:c r="AB15" s="8" t="str">
        <x:v>CV 2024/2025/2026</x:v>
      </x:c>
      <x:c r="AC15" t="str">
        <x:v>Coordenada revisada y proporcionada por el titular, 2026-10-07</x:v>
      </x:c>
    </x:row>
    <x:row r="16">
      <x:c r="A16" t="str">
        <x:v>15</x:v>
      </x:c>
      <x:c r="B16" t="str">
        <x:v>Proyecto</x:v>
      </x:c>
      <x:c r="C16" s="8" t="str">
        <x:v>Planta Talagante – Chile</x:v>
      </x:c>
      <x:c r="D16" t="str">
        <x:v>Santos CMI</x:v>
      </x:c>
      <x:c r="E16" t="str">
        <x:v>Chile</x:v>
      </x:c>
      <x:c r="F16" t="str">
        <x:v>Región Metropolitana</x:v>
      </x:c>
      <x:c r="G16" t="str">
        <x:v>Talagante (CMPC Tissue)</x:v>
      </x:c>
      <x:c r="H16" s="10" t="n">
        <x:v>-33.704037227913844</x:v>
      </x:c>
      <x:c r="I16" s="10" t="n">
        <x:v>-70.93548034522583</x:v>
      </x:c>
      <x:c r="J16" t="str">
        <x:v>2013</x:v>
      </x:c>
      <x:c r="K16" t="str">
        <x:v>2015</x:v>
      </x:c>
      <x:c r="L16" t="str">
        <x:v>Infraestructura industrial</x:v>
      </x:c>
      <x:c r="M16" t="str">
        <x:v>Participación</x:v>
      </x:c>
      <x:c r="N16" t="str">
        <x:v>Diseño de infraestructura</x:v>
      </x:c>
      <x:c r="O16" s="8" t="str">
        <x:v>Aportes de diseño hidrológico y drenaje</x:v>
      </x:c>
      <x:c r="P16" t="str">
        <x:v>Hydrology</x:v>
      </x:c>
      <x:c r="Q16" t="str">
        <x:v>21 MW</x:v>
      </x:c>
      <x:c r="R16" s="8" t="str">
        <x:v>Referencia de instalación pública</x:v>
      </x:c>
      <x:c r="S16" t="str">
        <x:v>yes</x:v>
      </x:c>
      <x:c r="T16" t="str">
        <x:v>CV 2025</x:v>
      </x:c>
      <x:c r="U16" s="8" t="str">
        <x:v>https://infofirma.sea.gob.cl/DocumentosSEA/MostrarDocumento?docId=f9%2F1e%2Ffce7ed7b924b34bc71ad37f6fd352bac898d</x:v>
      </x:c>
      <x:c r="V16" t="str">
        <x:v>https://www.google.com/maps/search/?api=1&amp;query=-33.70403722791384%2C-70.93548034522583</x:v>
      </x:c>
      <x:c r="W16" t="str"/>
      <x:c r="X16" s="8" t="str">
        <x:v>Puntual</x:v>
      </x:c>
      <x:c r="Y16" s="8" t="str">
        <x:v>Según CV</x:v>
      </x:c>
      <x:c r="Z16" s="8" t="str">
        <x:v>Aportes de diseño hidrológico y drenaje</x:v>
      </x:c>
      <x:c r="AA16" s="8" t="str">
        <x:v>Coordenada suministrada y revisada por el titular; verificar correspondencia con la obra antes de atribuir una instalación física.</x:v>
      </x:c>
      <x:c r="AB16" s="8" t="str">
        <x:v>CV 2024/2025/2026</x:v>
      </x:c>
      <x:c r="AC16" t="str">
        <x:v>Coordenada revisada y proporcionada por el titular, 2026-10-07</x:v>
      </x:c>
    </x:row>
    <x:row r="17">
      <x:c r="A17" t="str">
        <x:v>16</x:v>
      </x:c>
      <x:c r="B17" t="str">
        <x:v>Proyecto</x:v>
      </x:c>
      <x:c r="C17" s="8" t="str">
        <x:v>Complejo siderúrgico CSP – Brasil</x:v>
      </x:c>
      <x:c r="D17" t="str">
        <x:v>Santos CMI</x:v>
      </x:c>
      <x:c r="E17" t="str">
        <x:v>Brasil</x:v>
      </x:c>
      <x:c r="F17" t="str">
        <x:v>Ceará</x:v>
      </x:c>
      <x:c r="G17" t="str">
        <x:v>Pecém, São Gonçalo do Amarante</x:v>
      </x:c>
      <x:c r="H17" s="10" t="n">
        <x:v>-3.58535</x:v>
      </x:c>
      <x:c r="I17" s="10" t="n">
        <x:v>-38.85508</x:v>
      </x:c>
      <x:c r="J17" t="str">
        <x:v>2013</x:v>
      </x:c>
      <x:c r="K17" t="str">
        <x:v>2015</x:v>
      </x:c>
      <x:c r="L17" t="str">
        <x:v>Infraestructura industrial</x:v>
      </x:c>
      <x:c r="M17" t="str">
        <x:v>Participación</x:v>
      </x:c>
      <x:c r="N17" t="str">
        <x:v>Diseño de infraestructura</x:v>
      </x:c>
      <x:c r="O17" s="8" t="str">
        <x:v>Participación en diseño de obras civiles y drenaje</x:v>
      </x:c>
      <x:c r="P17" t="str">
        <x:v>Hydrology</x:v>
      </x:c>
      <x:c r="Q17" t="str">
        <x:v>Potencia por confirmar</x:v>
      </x:c>
      <x:c r="R17" s="8" t="str">
        <x:v>Referencia de instalación pública</x:v>
      </x:c>
      <x:c r="S17" t="str">
        <x:v>yes</x:v>
      </x:c>
      <x:c r="T17" t="str">
        <x:v>CV 2025</x:v>
      </x:c>
      <x:c r="U17" s="8" t="str">
        <x:v>https://www.wikidata.org/wiki/Q18477912</x:v>
      </x:c>
      <x:c r="V17" t="str">
        <x:v>https://www.google.com/maps/search/?api=1&amp;query=Complejo%20sider%C3%BArgico%20CSP%20%E2%80%93%20Brasil%2C%20S%C3%A3o%20Gon%C3%A7alo%20do%20Amarante%2C%20Brasil</x:v>
      </x:c>
      <x:c r="W17" t="str"/>
      <x:c r="X17" s="8" t="str">
        <x:v>Puntual</x:v>
      </x:c>
      <x:c r="Y17" s="8" t="str">
        <x:v>Según CV</x:v>
      </x:c>
      <x:c r="Z17" s="8" t="str">
        <x:v>Participación en diseño de obras civiles y drenaje</x:v>
      </x:c>
      <x:c r="AA17" s="8" t="str">
        <x:v>Revisar: la coordenada suministrada (-22.51394179581262, -44.11538570542573) no corresponde a Pecém/Ceará. Se conserva la ubicación anterior de referencia.</x:v>
      </x:c>
      <x:c r="AB17" s="8" t="str">
        <x:v>CV 2024/2025/2026</x:v>
      </x:c>
      <x:c r="AC17" t="str">
        <x:v>PENDIENTE: coordenada suministrada incompatible con Pecém (Ceará). Mantener punto anterior hasta confirmar.</x:v>
      </x:c>
    </x:row>
    <x:row r="18">
      <x:c r="A18" t="str">
        <x:v>17</x:v>
      </x:c>
      <x:c r="B18" t="str">
        <x:v>Proyecto</x:v>
      </x:c>
      <x:c r="C18" s="8" t="str">
        <x:v>Central Machala Power – Ecuador</x:v>
      </x:c>
      <x:c r="D18" t="str">
        <x:v>Santos CMI</x:v>
      </x:c>
      <x:c r="E18" t="str">
        <x:v>Ecuador</x:v>
      </x:c>
      <x:c r="F18" t="str">
        <x:v>El Oro</x:v>
      </x:c>
      <x:c r="G18" t="str">
        <x:v>Machala / Bajo Alto (por verificar)</x:v>
      </x:c>
      <x:c r="H18" s="10" t="n">
        <x:v>-3.1155096395963153</x:v>
      </x:c>
      <x:c r="I18" s="10" t="n">
        <x:v>-79.8780220209804</x:v>
      </x:c>
      <x:c r="J18" t="str">
        <x:v>2013</x:v>
      </x:c>
      <x:c r="K18" t="str">
        <x:v>2015</x:v>
      </x:c>
      <x:c r="L18" t="str">
        <x:v>Infraestructura industrial</x:v>
      </x:c>
      <x:c r="M18" t="str">
        <x:v>Participación</x:v>
      </x:c>
      <x:c r="N18" t="str">
        <x:v>Diseño de infraestructura</x:v>
      </x:c>
      <x:c r="O18" s="8" t="str">
        <x:v>Participación en diseño vial e hidráulico</x:v>
      </x:c>
      <x:c r="P18" t="str">
        <x:v>Hydraulics</x:v>
      </x:c>
      <x:c r="Q18" t="str">
        <x:v>135 MW</x:v>
      </x:c>
      <x:c r="R18" s="8" t="str">
        <x:v>Ciudad aproximada</x:v>
      </x:c>
      <x:c r="S18" t="str">
        <x:v>yes</x:v>
      </x:c>
      <x:c r="T18" t="str">
        <x:v>CV 2025</x:v>
      </x:c>
      <x:c r="U18" s="8" t="str">
        <x:v>https://www.celec.gob.ec/electroguayas/proyectos/</x:v>
      </x:c>
      <x:c r="V18" t="str">
        <x:v>https://www.google.com/maps/search/?api=1&amp;query=-3.11550963959632%2C-79.87802202098040</x:v>
      </x:c>
      <x:c r="W18" t="str"/>
      <x:c r="X18" s="8" t="str">
        <x:v>Zona</x:v>
      </x:c>
      <x:c r="Y18" s="8" t="str">
        <x:v>Según CV</x:v>
      </x:c>
      <x:c r="Z18" s="8" t="str">
        <x:v>Participación en diseño vial e hidráulico</x:v>
      </x:c>
      <x:c r="AA18" s="8" t="str">
        <x:v>Punto de referencia aportado por el titular. Para programas, estudios o redes multisede no representa necesariamente una instalación puntual.</x:v>
      </x:c>
      <x:c r="AB18" s="8" t="str">
        <x:v>CV 2024/2025/2026</x:v>
      </x:c>
      <x:c r="AC18" t="str">
        <x:v>Coordenada revisada y proporcionada por el titular, 2026-10-07</x:v>
      </x:c>
    </x:row>
    <x:row r="19">
      <x:c r="A19" t="str">
        <x:v>18</x:v>
      </x:c>
      <x:c r="B19" t="str">
        <x:v>Proyecto</x:v>
      </x:c>
      <x:c r="C19" s="8" t="str">
        <x:v>Gerber–Nestlé PREVASSA</x:v>
      </x:c>
      <x:c r="D19" t="str">
        <x:v>Consultoría independiente</x:v>
      </x:c>
      <x:c r="E19" t="str">
        <x:v>Costa Rica</x:v>
      </x:c>
      <x:c r="F19" t="str">
        <x:v>Alajuela</x:v>
      </x:c>
      <x:c r="G19" t="str">
        <x:v>Alajuela</x:v>
      </x:c>
      <x:c r="H19" s="10" t="n">
        <x:v>9.856109080000609</x:v>
      </x:c>
      <x:c r="I19" s="10" t="n">
        <x:v>-83.95586068849708</x:v>
      </x:c>
      <x:c r="J19" t="str">
        <x:v>2015</x:v>
      </x:c>
      <x:c r="K19" t="str">
        <x:v>2016</x:v>
      </x:c>
      <x:c r="L19" t="str">
        <x:v>Tratamiento industrial</x:v>
      </x:c>
      <x:c r="M19" t="str">
        <x:v>Diseño</x:v>
      </x:c>
      <x:c r="N19" t="str">
        <x:v>Consultor hidráulico</x:v>
      </x:c>
      <x:c r="O19" s="8" t="str">
        <x:v>Tratamiento de aguas y recuperación de recursos</x:v>
      </x:c>
      <x:c r="P19" t="str">
        <x:v>MBR,DAF</x:v>
      </x:c>
      <x:c r="Q19" t="str"/>
      <x:c r="R19" s="8" t="str">
        <x:v>Referencia territorial aproximada</x:v>
      </x:c>
      <x:c r="S19" t="str">
        <x:v>yes</x:v>
      </x:c>
      <x:c r="T19" t="str">
        <x:v>CV 2025</x:v>
      </x:c>
      <x:c r="U19" s="8" t="str"/>
      <x:c r="V19" t="str">
        <x:v>https://www.google.com/maps/search/?api=1&amp;query=9.85610908000061%2C-83.95586068849708</x:v>
      </x:c>
      <x:c r="W19" t="str"/>
      <x:c r="X19" s="8" t="str">
        <x:v>Zona</x:v>
      </x:c>
      <x:c r="Y19" s="8" t="str">
        <x:v>Según CV</x:v>
      </x:c>
      <x:c r="Z19" s="8" t="str">
        <x:v>Tratamiento de aguas y recuperación de recursos</x:v>
      </x:c>
      <x:c r="AA19" s="8" t="str">
        <x:v>Punto de referencia aportado por el titular. Para programas, estudios o redes multisede no representa necesariamente una instalación puntual.</x:v>
      </x:c>
      <x:c r="AB19" s="8" t="str">
        <x:v>CV 2024/2025/2026</x:v>
      </x:c>
      <x:c r="AC19" t="str">
        <x:v>Coordenada revisada y proporcionada por el titular, 2026-10-07</x:v>
      </x:c>
    </x:row>
    <x:row r="20">
      <x:c r="A20" t="str">
        <x:v>19</x:v>
      </x:c>
      <x:c r="B20" t="str">
        <x:v>Proyecto</x:v>
      </x:c>
      <x:c r="C20" s="8" t="str">
        <x:v>Infraestructura PriceSmart</x:v>
      </x:c>
      <x:c r="D20" t="str">
        <x:v>Consultoría independiente</x:v>
      </x:c>
      <x:c r="E20" t="str">
        <x:v>Costa Rica</x:v>
      </x:c>
      <x:c r="F20" t="str">
        <x:v>San José</x:v>
      </x:c>
      <x:c r="G20" t="str">
        <x:v>San José</x:v>
      </x:c>
      <x:c r="H20" s="10" t="n">
        <x:v>9.920903888364052</x:v>
      </x:c>
      <x:c r="I20" s="10" t="n">
        <x:v>-84.04798640395877</x:v>
      </x:c>
      <x:c r="J20" t="str">
        <x:v>2015</x:v>
      </x:c>
      <x:c r="K20" t="str">
        <x:v>2016</x:v>
      </x:c>
      <x:c r="L20" t="str">
        <x:v>Tratamiento industrial</x:v>
      </x:c>
      <x:c r="M20" t="str">
        <x:v>Diseño</x:v>
      </x:c>
      <x:c r="N20" t="str">
        <x:v>Consultor hidráulico</x:v>
      </x:c>
      <x:c r="O20" s="8" t="str">
        <x:v>Soluciones de tratamiento y manejo de aguas</x:v>
      </x:c>
      <x:c r="P20" t="str">
        <x:v>Hydraulics</x:v>
      </x:c>
      <x:c r="Q20" t="str"/>
      <x:c r="R20" s="8" t="str">
        <x:v>Referencia territorial aproximada</x:v>
      </x:c>
      <x:c r="S20" t="str">
        <x:v>yes</x:v>
      </x:c>
      <x:c r="T20" t="str">
        <x:v>CV 2025</x:v>
      </x:c>
      <x:c r="U20" s="8" t="str"/>
      <x:c r="V20" t="str">
        <x:v>https://www.google.com/maps/search/?api=1&amp;query=9.92090388836405%2C-84.04798640395877</x:v>
      </x:c>
      <x:c r="W20" t="str"/>
      <x:c r="X20" s="8" t="str">
        <x:v>Zona</x:v>
      </x:c>
      <x:c r="Y20" s="8" t="str">
        <x:v>Según CV</x:v>
      </x:c>
      <x:c r="Z20" s="8" t="str">
        <x:v>Soluciones de tratamiento y manejo de aguas</x:v>
      </x:c>
      <x:c r="AA20" s="8" t="str">
        <x:v>Punto de referencia aportado por el titular. Para programas, estudios o redes multisede no representa necesariamente una instalación puntual.</x:v>
      </x:c>
      <x:c r="AB20" s="8" t="str">
        <x:v>CV 2024/2025/2026</x:v>
      </x:c>
      <x:c r="AC20" t="str">
        <x:v>Coordenada revisada y proporcionada por el titular, 2026-10-07</x:v>
      </x:c>
    </x:row>
    <x:row r="21">
      <x:c r="A21" t="str">
        <x:v>T01</x:v>
      </x:c>
      <x:c r="B21" t="str">
        <x:v>Proyecto</x:v>
      </x:c>
      <x:c r="C21" s="8" t="str">
        <x:v>Cartera de proyectos de inversión de Sistemas Periféricos</x:v>
      </x:c>
      <x:c r="D21" t="str">
        <x:v>AyA</x:v>
      </x:c>
      <x:c r="E21" t="str">
        <x:v>Costa Rica</x:v>
      </x:c>
      <x:c r="F21" t="str">
        <x:v>GAM / Nacional</x:v>
      </x:c>
      <x:c r="G21" t="str">
        <x:v>San José / referencia nacional</x:v>
      </x:c>
      <x:c r="H21" s="10" t="n">
        <x:v>9.939163048006971</x:v>
      </x:c>
      <x:c r="I21" s="10" t="n">
        <x:v>-84.1183104773215</x:v>
      </x:c>
      <x:c r="J21" t="str">
        <x:v>2017</x:v>
      </x:c>
      <x:c r="K21" t="str">
        <x:v>2022</x:v>
      </x:c>
      <x:c r="L21" t="str">
        <x:v>Gestión de cartera, análisis documental, costos y cierre/capitalización</x:v>
      </x:c>
      <x:c r="M21" t="str">
        <x:v>Estudio / gestión</x:v>
      </x:c>
      <x:c r="N21" t="str">
        <x:v>Programación y Control / Periféricos</x:v>
      </x:c>
      <x:c r="O21" s="8" t="str">
        <x:v>Revisión, recopilación, control y capitalización de inversiones; reconstrucción de antecedentes, costos, etapas, expedientes y datos de proyectos ejecutados entre 2018 y 2021.</x:v>
      </x:c>
      <x:c r="P21" t="str">
        <x:v>Ingeniería hidráulica,Planificación y análisis</x:v>
      </x:c>
      <x:c r="Q21" t="str"/>
      <x:c r="R21" s="8" t="str">
        <x:v>Nacional / multisitio</x:v>
      </x:c>
      <x:c r="S21" t="str">
        <x:v>yes</x:v>
      </x:c>
      <x:c r="T21" t="str">
        <x:v>Trayectoria 2017–2026 (archivo aportado)</x:v>
      </x:c>
      <x:c r="U21" s="8" t="str"/>
      <x:c r="V21" t="str">
        <x:v>https://www.google.com/maps/search/?api=1&amp;query=9.93916304800697%2C-84.11831047732150</x:v>
      </x:c>
      <x:c r="W21" t="str"/>
      <x:c r="X21" s="8" t="str">
        <x:v>Regional</x:v>
      </x:c>
      <x:c r="Y21" s="8" t="str">
        <x:v>Alta</x:v>
      </x:c>
      <x:c r="Z21" s="8" t="str">
        <x:v>Revisión, recopilación, control y capitalización de inversiones; reconstrucción de antecedentes, costos, etapas, expedientes y datos de proyectos ejecutados entre 2018 y 2021.</x:v>
      </x:c>
      <x:c r="AA21" s="8" t="str">
        <x:v>Punto de referencia aportado por el titular. Para programas, estudios o redes multisede no representa necesariamente una instalación puntual.</x:v>
      </x:c>
      <x:c r="AB21" s="8" t="str">
        <x:v>turn6search438; turn6search441; turn6search449</x:v>
      </x:c>
      <x:c r="AC21" t="str">
        <x:v>Coordenada revisada y proporcionada por el titular, 2026-10-07</x:v>
      </x:c>
    </x:row>
    <x:row r="22">
      <x:c r="A22" t="str">
        <x:v>T03</x:v>
      </x:c>
      <x:c r="B22" t="str">
        <x:v>Proyecto</x:v>
      </x:c>
      <x:c r="C22" s="8" t="str">
        <x:v>Mejoras al Acueducto de Coto Brus</x:v>
      </x:c>
      <x:c r="D22" t="str">
        <x:v>AyA</x:v>
      </x:c>
      <x:c r="E22" t="str">
        <x:v>Costa Rica</x:v>
      </x:c>
      <x:c r="F22" t="str">
        <x:v>Puntarenas</x:v>
      </x:c>
      <x:c r="G22" t="str">
        <x:v>Coto Brus</x:v>
      </x:c>
      <x:c r="H22" s="10" t="n">
        <x:v>8.821146234860828</x:v>
      </x:c>
      <x:c r="I22" s="10" t="n">
        <x:v>-82.96834835171164</x:v>
      </x:c>
      <x:c r="J22" t="str">
        <x:v>2022</x:v>
      </x:c>
      <x:c r="K22" t="str"/>
      <x:c r="L22" t="str">
        <x:v>Planificación de inversiones, control de proyectos y análisis presupuestario</x:v>
      </x:c>
      <x:c r="M22" t="str">
        <x:v>Intervención / seguimiento</x:v>
      </x:c>
      <x:c r="N22" t="str">
        <x:v>Programación y Control / planificación</x:v>
      </x:c>
      <x:c r="O22" s="8" t="str">
        <x:v>Revisión de información técnica, programación, etapa, costos estimados y financiamiento dentro del Plan de Inversiones 2022-2026 y programa BCIE 1725.</x:v>
      </x:c>
      <x:c r="P22" t="str">
        <x:v>Ingeniería hidráulica,Planificación y análisis</x:v>
      </x:c>
      <x:c r="Q22" t="str"/>
      <x:c r="R22" s="8" t="str">
        <x:v>Cantón aproximado</x:v>
      </x:c>
      <x:c r="S22" t="str">
        <x:v>yes</x:v>
      </x:c>
      <x:c r="T22" t="str">
        <x:v>Trayectoria 2017–2026 (archivo aportado)</x:v>
      </x:c>
      <x:c r="U22" s="8" t="str">
        <x:v>https://mapcarta.com/19593780</x:v>
      </x:c>
      <x:c r="V22" t="str">
        <x:v>https://www.google.com/maps/search/?api=1&amp;query=8.82114623486083%2C-82.96834835171164</x:v>
      </x:c>
      <x:c r="W22" t="str"/>
      <x:c r="X22" s="8" t="str">
        <x:v>Zona</x:v>
      </x:c>
      <x:c r="Y22" s="8" t="str">
        <x:v>Media</x:v>
      </x:c>
      <x:c r="Z22" s="8" t="str">
        <x:v>Revisión de información técnica, programación, etapa, costos estimados y financiamiento dentro del Plan de Inversiones 2022-2026 y programa BCIE 1725.</x:v>
      </x:c>
      <x:c r="AA22" s="8" t="str">
        <x:v>Punto de referencia aportado por el titular. Para programas, estudios o redes multisede no representa necesariamente una instalación puntual.</x:v>
      </x:c>
      <x:c r="AB22" s="8" t="str">
        <x:v>turn6search524</x:v>
      </x:c>
      <x:c r="AC22" t="str">
        <x:v>Coordenada revisada y proporcionada por el titular, 2026-10-07</x:v>
      </x:c>
    </x:row>
    <x:row r="23">
      <x:c r="A23" t="str">
        <x:v>T04</x:v>
      </x:c>
      <x:c r="B23" t="str">
        <x:v>Proyecto</x:v>
      </x:c>
      <x:c r="C23" s="8" t="str">
        <x:v>Construcción y mejoras del Acueducto de Golfito</x:v>
      </x:c>
      <x:c r="D23" t="str">
        <x:v>AyA</x:v>
      </x:c>
      <x:c r="E23" t="str">
        <x:v>Costa Rica</x:v>
      </x:c>
      <x:c r="F23" t="str">
        <x:v>Puntarenas</x:v>
      </x:c>
      <x:c r="G23" t="str">
        <x:v>Golfito</x:v>
      </x:c>
      <x:c r="H23" s="10" t="n">
        <x:v>8.546361642257347</x:v>
      </x:c>
      <x:c r="I23" s="10" t="n">
        <x:v>-83.30926901857893</x:v>
      </x:c>
      <x:c r="J23" t="str">
        <x:v>2022</x:v>
      </x:c>
      <x:c r="K23" t="str"/>
      <x:c r="L23" t="str">
        <x:v>Planificación y seguimiento de cartera</x:v>
      </x:c>
      <x:c r="M23" t="str">
        <x:v>Intervención / seguimiento</x:v>
      </x:c>
      <x:c r="N23" t="str">
        <x:v>Programación y Control / planificación</x:v>
      </x:c>
      <x:c r="O23" s="8" t="str">
        <x:v>Revisión de alcance, costos, programación y estado del proyecto de sustitución de tuberías y mejoras del sistema dentro del Plan de Inversiones.</x:v>
      </x:c>
      <x:c r="P23" t="str">
        <x:v>Ingeniería hidráulica,Planificación y análisis</x:v>
      </x:c>
      <x:c r="Q23" t="str"/>
      <x:c r="R23" s="8" t="str">
        <x:v>Ciudad aproximada</x:v>
      </x:c>
      <x:c r="S23" t="str">
        <x:v>yes</x:v>
      </x:c>
      <x:c r="T23" t="str">
        <x:v>Trayectoria 2017–2026 (archivo aportado)</x:v>
      </x:c>
      <x:c r="U23" s="8" t="str"/>
      <x:c r="V23" t="str">
        <x:v>https://www.google.com/maps/search/?api=1&amp;query=8.54636164225735%2C-83.30926901857893</x:v>
      </x:c>
      <x:c r="W23" t="str"/>
      <x:c r="X23" s="8" t="str">
        <x:v>Zona</x:v>
      </x:c>
      <x:c r="Y23" s="8" t="str">
        <x:v>Media</x:v>
      </x:c>
      <x:c r="Z23" s="8" t="str">
        <x:v>Revisión de alcance, costos, programación y estado del proyecto de sustitución de tuberías y mejoras del sistema dentro del Plan de Inversiones.</x:v>
      </x:c>
      <x:c r="AA23" s="8" t="str">
        <x:v>Punto de referencia aportado por el titular. Para programas, estudios o redes multisede no representa necesariamente una instalación puntual.</x:v>
      </x:c>
      <x:c r="AB23" s="8" t="str">
        <x:v>turn6search524</x:v>
      </x:c>
      <x:c r="AC23" t="str">
        <x:v>Coordenada revisada y proporcionada por el titular, 2026-10-07</x:v>
      </x:c>
    </x:row>
    <x:row r="24">
      <x:c r="A24" t="str">
        <x:v>T05</x:v>
      </x:c>
      <x:c r="B24" t="str">
        <x:v>Proyecto</x:v>
      </x:c>
      <x:c r="C24" s="8" t="str">
        <x:v>Sistema integrado Ciudad Neily-Canoas-Laurel-La Cuesta</x:v>
      </x:c>
      <x:c r="D24" t="str">
        <x:v>AyA</x:v>
      </x:c>
      <x:c r="E24" t="str">
        <x:v>Costa Rica</x:v>
      </x:c>
      <x:c r="F24" t="str">
        <x:v>Puntarenas</x:v>
      </x:c>
      <x:c r="G24" t="str">
        <x:v>Ciudad Neily</x:v>
      </x:c>
      <x:c r="H24" s="10" t="n">
        <x:v>8.64798168958886</x:v>
      </x:c>
      <x:c r="I24" s="10" t="n">
        <x:v>-82.94204922384831</x:v>
      </x:c>
      <x:c r="J24" t="str">
        <x:v>2022</x:v>
      </x:c>
      <x:c r="K24" t="str"/>
      <x:c r="L24" t="str">
        <x:v>Planificación de inversión y análisis de proyecto</x:v>
      </x:c>
      <x:c r="M24" t="str">
        <x:v>Intervención / seguimiento</x:v>
      </x:c>
      <x:c r="N24" t="str">
        <x:v>Programación y Control / planificación</x:v>
      </x:c>
      <x:c r="O24" s="8" t="str">
        <x:v>Revisión de alcance, programación y cartera de inversión para captaciones, planta de tratamiento, bombeo, tanques y líneas de impulsión.</x:v>
      </x:c>
      <x:c r="P24" t="str">
        <x:v>Ingeniería hidráulica,Planificación y análisis</x:v>
      </x:c>
      <x:c r="Q24" t="str"/>
      <x:c r="R24" s="8" t="str">
        <x:v>Localidad aproximada</x:v>
      </x:c>
      <x:c r="S24" t="str">
        <x:v>yes</x:v>
      </x:c>
      <x:c r="T24" t="str">
        <x:v>Trayectoria 2017–2026 (archivo aportado)</x:v>
      </x:c>
      <x:c r="U24" s="8" t="str"/>
      <x:c r="V24" t="str">
        <x:v>https://www.google.com/maps/search/?api=1&amp;query=8.64798168958886%2C-82.94204922384831</x:v>
      </x:c>
      <x:c r="W24" t="str"/>
      <x:c r="X24" s="8" t="str">
        <x:v>Zona</x:v>
      </x:c>
      <x:c r="Y24" s="8" t="str">
        <x:v>Media</x:v>
      </x:c>
      <x:c r="Z24" s="8" t="str">
        <x:v>Revisión de alcance, programación y cartera de inversión para captaciones, planta de tratamiento, bombeo, tanques y líneas de impulsión.</x:v>
      </x:c>
      <x:c r="AA24" s="8" t="str">
        <x:v>Punto de referencia aportado por el titular. Para programas, estudios o redes multisede no representa necesariamente una instalación puntual.</x:v>
      </x:c>
      <x:c r="AB24" s="8" t="str">
        <x:v>turn6search524</x:v>
      </x:c>
      <x:c r="AC24" t="str">
        <x:v>Coordenada revisada y proporcionada por el titular, 2026-10-07</x:v>
      </x:c>
    </x:row>
    <x:row r="25">
      <x:c r="A25" t="str">
        <x:v>T06</x:v>
      </x:c>
      <x:c r="B25" t="str">
        <x:v>Proyecto</x:v>
      </x:c>
      <x:c r="C25" s="8" t="str">
        <x:v>Mejoras al Acueducto Ciudad Cortés</x:v>
      </x:c>
      <x:c r="D25" t="str">
        <x:v>AyA</x:v>
      </x:c>
      <x:c r="E25" t="str">
        <x:v>Costa Rica</x:v>
      </x:c>
      <x:c r="F25" t="str">
        <x:v>Puntarenas</x:v>
      </x:c>
      <x:c r="G25" t="str">
        <x:v>Ciudad Cortés</x:v>
      </x:c>
      <x:c r="H25" s="10" t="n">
        <x:v>8.974381659791892</x:v>
      </x:c>
      <x:c r="I25" s="10" t="n">
        <x:v>-83.52392158218605</x:v>
      </x:c>
      <x:c r="J25" t="str">
        <x:v>2022</x:v>
      </x:c>
      <x:c r="K25" t="str"/>
      <x:c r="L25" t="str">
        <x:v>Planificación, costos y seguimiento de proyecto</x:v>
      </x:c>
      <x:c r="M25" t="str">
        <x:v>Intervención / seguimiento</x:v>
      </x:c>
      <x:c r="N25" t="str">
        <x:v>Programación y Control / planificación</x:v>
      </x:c>
      <x:c r="O25" s="8" t="str">
        <x:v>Análisis de información de inversión para planta potabilizadora, almacenamiento, bombeo y líneas de conducción; revisión de costos y programación.</x:v>
      </x:c>
      <x:c r="P25" t="str">
        <x:v>Ingeniería hidráulica,Planificación y análisis</x:v>
      </x:c>
      <x:c r="Q25" t="str"/>
      <x:c r="R25" s="8" t="str">
        <x:v>Localidad aproximada</x:v>
      </x:c>
      <x:c r="S25" t="str">
        <x:v>yes</x:v>
      </x:c>
      <x:c r="T25" t="str">
        <x:v>Trayectoria 2017–2026 (archivo aportado)</x:v>
      </x:c>
      <x:c r="U25" s="8" t="str"/>
      <x:c r="V25" t="str">
        <x:v>https://www.google.com/maps/search/?api=1&amp;query=8.97438165979189%2C-83.52392158218605</x:v>
      </x:c>
      <x:c r="W25" t="str"/>
      <x:c r="X25" s="8" t="str">
        <x:v>Zona</x:v>
      </x:c>
      <x:c r="Y25" s="8" t="str">
        <x:v>Media</x:v>
      </x:c>
      <x:c r="Z25" s="8" t="str">
        <x:v>Análisis de información de inversión para planta potabilizadora, almacenamiento, bombeo y líneas de conducción; revisión de costos y programación.</x:v>
      </x:c>
      <x:c r="AA25" s="8" t="str">
        <x:v>Punto de referencia aportado por el titular. Para programas, estudios o redes multisede no representa necesariamente una instalación puntual.</x:v>
      </x:c>
      <x:c r="AB25" s="8" t="str">
        <x:v>turn6search524</x:v>
      </x:c>
      <x:c r="AC25" t="str">
        <x:v>Coordenada revisada y proporcionada por el titular, 2026-10-07</x:v>
      </x:c>
    </x:row>
    <x:row r="26">
      <x:c r="A26" t="str">
        <x:v>T07</x:v>
      </x:c>
      <x:c r="B26" t="str">
        <x:v>Proyecto</x:v>
      </x:c>
      <x:c r="C26" s="8" t="str">
        <x:v>Mejoras al sistema San Ramón-Palmares, etapa II</x:v>
      </x:c>
      <x:c r="D26" t="str">
        <x:v>AyA</x:v>
      </x:c>
      <x:c r="E26" t="str">
        <x:v>Costa Rica</x:v>
      </x:c>
      <x:c r="F26" t="str">
        <x:v>Alajuela</x:v>
      </x:c>
      <x:c r="G26" t="str">
        <x:v>San Ramón / Palmares</x:v>
      </x:c>
      <x:c r="H26" s="10" t="n">
        <x:v>10.094727324514901</x:v>
      </x:c>
      <x:c r="I26" s="10" t="n">
        <x:v>-84.4816137876228</x:v>
      </x:c>
      <x:c r="J26" t="str">
        <x:v>2022</x:v>
      </x:c>
      <x:c r="K26" t="str"/>
      <x:c r="L26" t="str">
        <x:v>Análisis de inversión, programación y prefactibilidad</x:v>
      </x:c>
      <x:c r="M26" t="str">
        <x:v>Intervención / seguimiento</x:v>
      </x:c>
      <x:c r="N26" t="str">
        <x:v>Programación y Control / planificación</x:v>
      </x:c>
      <x:c r="O26" s="8" t="str">
        <x:v>Revisión de factibilidad/diseño, costos y programación para sustitución de redes, separación por niveles de presión y rehabilitación de tanques.</x:v>
      </x:c>
      <x:c r="P26" t="str">
        <x:v>Ingeniería hidráulica,Planificación y análisis</x:v>
      </x:c>
      <x:c r="Q26" t="str"/>
      <x:c r="R26" s="8" t="str">
        <x:v>Multisitio / zona</x:v>
      </x:c>
      <x:c r="S26" t="str">
        <x:v>yes</x:v>
      </x:c>
      <x:c r="T26" t="str">
        <x:v>Trayectoria 2017–2026 (archivo aportado)</x:v>
      </x:c>
      <x:c r="U26" s="8" t="str"/>
      <x:c r="V26" t="str">
        <x:v>https://www.google.com/maps/search/?api=1&amp;query=10.09472732451490%2C-84.48161378762281</x:v>
      </x:c>
      <x:c r="W26" t="str"/>
      <x:c r="X26" s="8" t="str">
        <x:v>Zona</x:v>
      </x:c>
      <x:c r="Y26" s="8" t="str">
        <x:v>Media</x:v>
      </x:c>
      <x:c r="Z26" s="8" t="str">
        <x:v>Revisión de factibilidad/diseño, costos y programación para sustitución de redes, separación por niveles de presión y rehabilitación de tanques.</x:v>
      </x:c>
      <x:c r="AA26" s="8" t="str">
        <x:v>Coordenada suministrada y revisada por el titular; verificar correspondencia con la obra antes de atribuir una instalación física.</x:v>
      </x:c>
      <x:c r="AB26" s="8" t="str">
        <x:v>turn6search519</x:v>
      </x:c>
      <x:c r="AC26" t="str">
        <x:v>Coordenada revisada y proporcionada por el titular, 2026-10-07</x:v>
      </x:c>
    </x:row>
    <x:row r="27">
      <x:c r="A27" t="str">
        <x:v>T08</x:v>
      </x:c>
      <x:c r="B27" t="str">
        <x:v>Proyecto</x:v>
      </x:c>
      <x:c r="C27" s="8" t="str">
        <x:v>Ampliación del Acueducto de Puerto Jiménez</x:v>
      </x:c>
      <x:c r="D27" t="str">
        <x:v>AyA</x:v>
      </x:c>
      <x:c r="E27" t="str">
        <x:v>Costa Rica</x:v>
      </x:c>
      <x:c r="F27" t="str">
        <x:v>Puntarenas</x:v>
      </x:c>
      <x:c r="G27" t="str">
        <x:v>Puerto Jiménez</x:v>
      </x:c>
      <x:c r="H27" s="10" t="n">
        <x:v>8.536945269071543</x:v>
      </x:c>
      <x:c r="I27" s="10" t="n">
        <x:v>-83.30556130171449</x:v>
      </x:c>
      <x:c r="J27" t="str">
        <x:v>2022</x:v>
      </x:c>
      <x:c r="K27" t="str">
        <x:v>2023</x:v>
      </x:c>
      <x:c r="L27" t="str">
        <x:v>Factibilidad, costos y planificación de inversión</x:v>
      </x:c>
      <x:c r="M27" t="str">
        <x:v>Intervención / seguimiento</x:v>
      </x:c>
      <x:c r="N27" t="str">
        <x:v>Programación y Control / Periféricos</x:v>
      </x:c>
      <x:c r="O27" s="8" t="str">
        <x:v>Revisión de cartera FOPRI y estudios de factibilidad para nuevas fuentes, almacenamiento, distribución de presiones y atención de demanda futura.</x:v>
      </x:c>
      <x:c r="P27" t="str">
        <x:v>Ingeniería hidráulica,Planificación y análisis</x:v>
      </x:c>
      <x:c r="Q27" t="str"/>
      <x:c r="R27" s="8" t="str">
        <x:v>Localidad aproximada</x:v>
      </x:c>
      <x:c r="S27" t="str">
        <x:v>yes</x:v>
      </x:c>
      <x:c r="T27" t="str">
        <x:v>Trayectoria 2017–2026 (archivo aportado)</x:v>
      </x:c>
      <x:c r="U27" s="8" t="str"/>
      <x:c r="V27" t="str">
        <x:v>https://www.google.com/maps/search/?api=1&amp;query=8.53694526907154%2C-83.30556130171449</x:v>
      </x:c>
      <x:c r="W27" t="str"/>
      <x:c r="X27" s="8" t="str">
        <x:v>Zona</x:v>
      </x:c>
      <x:c r="Y27" s="8" t="str">
        <x:v>Media</x:v>
      </x:c>
      <x:c r="Z27" s="8" t="str">
        <x:v>Revisión de cartera FOPRI y estudios de factibilidad para nuevas fuentes, almacenamiento, distribución de presiones y atención de demanda futura.</x:v>
      </x:c>
      <x:c r="AA27" s="8" t="str">
        <x:v>Punto de referencia aportado por el titular. Para programas, estudios o redes multisede no representa necesariamente una instalación puntual.</x:v>
      </x:c>
      <x:c r="AB27" s="8" t="str">
        <x:v>turn6search507; turn6search519</x:v>
      </x:c>
      <x:c r="AC27" t="str">
        <x:v>Coordenada revisada y proporcionada por el titular, 2026-10-07</x:v>
      </x:c>
    </x:row>
    <x:row r="28">
      <x:c r="A28" t="str">
        <x:v>T09</x:v>
      </x:c>
      <x:c r="B28" t="str">
        <x:v>Proyecto</x:v>
      </x:c>
      <x:c r="C28" s="8" t="str">
        <x:v>Ampliación del Acueducto de San Pablo de Turrubares</x:v>
      </x:c>
      <x:c r="D28" t="str">
        <x:v>AyA</x:v>
      </x:c>
      <x:c r="E28" t="str">
        <x:v>Costa Rica</x:v>
      </x:c>
      <x:c r="F28" t="str">
        <x:v>San José</x:v>
      </x:c>
      <x:c r="G28" t="str">
        <x:v>San Pablo de Turrubares</x:v>
      </x:c>
      <x:c r="H28" s="10" t="n">
        <x:v>9.908352177656962</x:v>
      </x:c>
      <x:c r="I28" s="10" t="n">
        <x:v>-84.44181429693528</x:v>
      </x:c>
      <x:c r="J28" t="str">
        <x:v>2022</x:v>
      </x:c>
      <x:c r="K28" t="str">
        <x:v>2023</x:v>
      </x:c>
      <x:c r="L28" t="str">
        <x:v>Factibilidad y planificación de inversión</x:v>
      </x:c>
      <x:c r="M28" t="str">
        <x:v>Intervención / seguimiento</x:v>
      </x:c>
      <x:c r="N28" t="str">
        <x:v>Programación y Control / Periféricos</x:v>
      </x:c>
      <x:c r="O28" s="8" t="str">
        <x:v>Revisión de factibilidad, alcance, costos y programación para bombeo, tanque, cloración y ramales hacia comunidades en riesgo sanitario.</x:v>
      </x:c>
      <x:c r="P28" t="str">
        <x:v>Ingeniería hidráulica,Planificación y análisis</x:v>
      </x:c>
      <x:c r="Q28" t="str"/>
      <x:c r="R28" s="8" t="str">
        <x:v>Localidad aproximada</x:v>
      </x:c>
      <x:c r="S28" t="str">
        <x:v>yes</x:v>
      </x:c>
      <x:c r="T28" t="str">
        <x:v>Trayectoria 2017–2026 (archivo aportado)</x:v>
      </x:c>
      <x:c r="U28" s="8" t="str"/>
      <x:c r="V28" t="str">
        <x:v>https://www.google.com/maps/search/?api=1&amp;query=9.90835217765696%2C-84.44181429693528</x:v>
      </x:c>
      <x:c r="W28" t="str"/>
      <x:c r="X28" s="8" t="str">
        <x:v>Zona</x:v>
      </x:c>
      <x:c r="Y28" s="8" t="str">
        <x:v>Media</x:v>
      </x:c>
      <x:c r="Z28" s="8" t="str">
        <x:v>Revisión de factibilidad, alcance, costos y programación para bombeo, tanque, cloración y ramales hacia comunidades en riesgo sanitario.</x:v>
      </x:c>
      <x:c r="AA28" s="8" t="str">
        <x:v>Punto de referencia aportado por el titular. Para programas, estudios o redes multisede no representa necesariamente una instalación puntual.</x:v>
      </x:c>
      <x:c r="AB28" s="8" t="str">
        <x:v>turn6search507; turn6search519</x:v>
      </x:c>
      <x:c r="AC28" t="str">
        <x:v>Coordenada revisada y proporcionada por el titular, 2026-10-07</x:v>
      </x:c>
    </x:row>
    <x:row r="29">
      <x:c r="A29" t="str">
        <x:v>T10</x:v>
      </x:c>
      <x:c r="B29" t="str">
        <x:v>Proyecto</x:v>
      </x:c>
      <x:c r="C29" s="8" t="str">
        <x:v>Rehabilitación del sistema de Colorado de Abangares</x:v>
      </x:c>
      <x:c r="D29" t="str">
        <x:v>AyA</x:v>
      </x:c>
      <x:c r="E29" t="str">
        <x:v>Costa Rica</x:v>
      </x:c>
      <x:c r="F29" t="str">
        <x:v>Guanacaste</x:v>
      </x:c>
      <x:c r="G29" t="str">
        <x:v>Colorado de Abangares</x:v>
      </x:c>
      <x:c r="H29" s="10" t="n">
        <x:v>10.240034590896785</x:v>
      </x:c>
      <x:c r="I29" s="10" t="n">
        <x:v>-85.10588201384981</x:v>
      </x:c>
      <x:c r="J29" t="str">
        <x:v>2022</x:v>
      </x:c>
      <x:c r="K29" t="str">
        <x:v>2023</x:v>
      </x:c>
      <x:c r="L29" t="str">
        <x:v>Análisis de inversión, costos y seguimiento</x:v>
      </x:c>
      <x:c r="M29" t="str">
        <x:v>Intervención / seguimiento</x:v>
      </x:c>
      <x:c r="N29" t="str">
        <x:v>Programación y Control / Periféricos</x:v>
      </x:c>
      <x:c r="O29" s="8" t="str">
        <x:v>Revisión de información de inversión, costos y programación para incorporación del pozo 3, rehabilitación electromecánica, líneas de impulsión y planta de remoción de hierro y manganeso.</x:v>
      </x:c>
      <x:c r="P29" t="str">
        <x:v>Ingeniería hidráulica,Planificación y análisis</x:v>
      </x:c>
      <x:c r="Q29" t="str"/>
      <x:c r="R29" s="8" t="str">
        <x:v>Localidad aproximada</x:v>
      </x:c>
      <x:c r="S29" t="str">
        <x:v>yes</x:v>
      </x:c>
      <x:c r="T29" t="str">
        <x:v>Trayectoria 2017–2026 (archivo aportado)</x:v>
      </x:c>
      <x:c r="U29" s="8" t="str"/>
      <x:c r="V29" t="str">
        <x:v>https://www.google.com/maps/search/?api=1&amp;query=10.24003459089679%2C-85.10588201384981</x:v>
      </x:c>
      <x:c r="W29" t="str"/>
      <x:c r="X29" s="8" t="str">
        <x:v>Zona</x:v>
      </x:c>
      <x:c r="Y29" s="8" t="str">
        <x:v>Media</x:v>
      </x:c>
      <x:c r="Z29" s="8" t="str">
        <x:v>Revisión de información de inversión, costos y programación para incorporación del pozo 3, rehabilitación electromecánica, líneas de impulsión y planta de remoción de hierro y manganeso.</x:v>
      </x:c>
      <x:c r="AA29" s="8" t="str">
        <x:v>Punto de referencia aportado por el titular. Para programas, estudios o redes multisede no representa necesariamente una instalación puntual.</x:v>
      </x:c>
      <x:c r="AB29" s="8" t="str">
        <x:v>turn6search507; turn6search519</x:v>
      </x:c>
      <x:c r="AC29" t="str">
        <x:v>Coordenada revisada y proporcionada por el titular, 2026-10-07</x:v>
      </x:c>
    </x:row>
    <x:row r="30">
      <x:c r="A30" t="str">
        <x:v>T11</x:v>
      </x:c>
      <x:c r="B30" t="str">
        <x:v>Proyecto</x:v>
      </x:c>
      <x:c r="C30" s="8" t="str">
        <x:v>SCADA para PTAR de la Región Brunca</x:v>
      </x:c>
      <x:c r="D30" t="str">
        <x:v>AyA</x:v>
      </x:c>
      <x:c r="E30" t="str">
        <x:v>Costa Rica</x:v>
      </x:c>
      <x:c r="F30" t="str">
        <x:v>Puntarenas y San José</x:v>
      </x:c>
      <x:c r="G30" t="str">
        <x:v>San Isidro de El General</x:v>
      </x:c>
      <x:c r="H30" s="10" t="n">
        <x:v>9.3893622580037</x:v>
      </x:c>
      <x:c r="I30" s="10" t="n">
        <x:v>-83.70778394317274</x:v>
      </x:c>
      <x:c r="J30" t="str">
        <x:v>2022</x:v>
      </x:c>
      <x:c r="K30" t="str"/>
      <x:c r="L30" t="str">
        <x:v>Planificación tecnológica, costos y seguimiento de contratación</x:v>
      </x:c>
      <x:c r="M30" t="str">
        <x:v>Intervención / seguimiento</x:v>
      </x:c>
      <x:c r="N30" t="str">
        <x:v>Programación y Control / Periféricos</x:v>
      </x:c>
      <x:c r="O30" s="8" t="str">
        <x:v>Seguimiento de proyecto para centralizar parámetros operativos, comunicaciones, registros históricos, alertas y reportes de plantas de tratamiento.</x:v>
      </x:c>
      <x:c r="P30" t="str">
        <x:v>Ingeniería hidráulica,Planificación y análisis</x:v>
      </x:c>
      <x:c r="Q30" t="str"/>
      <x:c r="R30" s="8" t="str">
        <x:v>Multisitio / zona</x:v>
      </x:c>
      <x:c r="S30" t="str">
        <x:v>yes</x:v>
      </x:c>
      <x:c r="T30" t="str">
        <x:v>Trayectoria 2017–2026 (archivo aportado)</x:v>
      </x:c>
      <x:c r="U30" s="8" t="str">
        <x:v>https://mapcarta.com/es/San_Isidro_de_El_General</x:v>
      </x:c>
      <x:c r="V30" t="str">
        <x:v>https://www.google.com/maps/search/?api=1&amp;query=9.38936225800370%2C-83.70778394317274</x:v>
      </x:c>
      <x:c r="W30" t="str"/>
      <x:c r="X30" s="8" t="str">
        <x:v>Zona</x:v>
      </x:c>
      <x:c r="Y30" s="8" t="str">
        <x:v>Media</x:v>
      </x:c>
      <x:c r="Z30" s="8" t="str">
        <x:v>Seguimiento de proyecto para centralizar parámetros operativos, comunicaciones, registros históricos, alertas y reportes de plantas de tratamiento.</x:v>
      </x:c>
      <x:c r="AA30" s="8" t="str">
        <x:v>Coordenada suministrada y revisada por el titular; verificar correspondencia con la obra antes de atribuir una instalación física.</x:v>
      </x:c>
      <x:c r="AB30" s="8" t="str">
        <x:v>turn6search525</x:v>
      </x:c>
      <x:c r="AC30" t="str">
        <x:v>Coordenada revisada y proporcionada por el titular, 2026-10-07</x:v>
      </x:c>
    </x:row>
    <x:row r="31">
      <x:c r="A31" t="str">
        <x:v>T12</x:v>
      </x:c>
      <x:c r="B31" t="str">
        <x:v>Proyecto</x:v>
      </x:c>
      <x:c r="C31" s="8" t="str">
        <x:v>Estación de bombeo de aguas residuales río San Isidro</x:v>
      </x:c>
      <x:c r="D31" t="str">
        <x:v>AyA</x:v>
      </x:c>
      <x:c r="E31" t="str">
        <x:v>Costa Rica</x:v>
      </x:c>
      <x:c r="F31" t="str">
        <x:v>San José</x:v>
      </x:c>
      <x:c r="G31" t="str">
        <x:v>San Isidro de El General</x:v>
      </x:c>
      <x:c r="H31" s="10" t="n">
        <x:v>9.3893622580037</x:v>
      </x:c>
      <x:c r="I31" s="10" t="n">
        <x:v>-83.70778394317274</x:v>
      </x:c>
      <x:c r="J31" t="str">
        <x:v>2022</x:v>
      </x:c>
      <x:c r="K31" t="str"/>
      <x:c r="L31" t="str">
        <x:v>Planificación y seguimiento de inversión</x:v>
      </x:c>
      <x:c r="M31" t="str">
        <x:v>Intervención / seguimiento</x:v>
      </x:c>
      <x:c r="N31" t="str">
        <x:v>Programación y Control / Periféricos</x:v>
      </x:c>
      <x:c r="O31" s="8" t="str">
        <x:v>Revisión de programación y costos para estación de bombeo, corrección de colector y trasiego seguro sobre el río San Isidro.</x:v>
      </x:c>
      <x:c r="P31" t="str">
        <x:v>Ingeniería hidráulica,Planificación y análisis</x:v>
      </x:c>
      <x:c r="Q31" t="str"/>
      <x:c r="R31" s="8" t="str">
        <x:v>Localidad aproximada</x:v>
      </x:c>
      <x:c r="S31" t="str">
        <x:v>yes</x:v>
      </x:c>
      <x:c r="T31" t="str">
        <x:v>Trayectoria 2017–2026 (archivo aportado)</x:v>
      </x:c>
      <x:c r="U31" s="8" t="str">
        <x:v>https://mapcarta.com/es/San_Isidro_de_El_General</x:v>
      </x:c>
      <x:c r="V31" t="str">
        <x:v>https://www.google.com/maps/search/?api=1&amp;query=9.38936225800370%2C-83.70778394317274</x:v>
      </x:c>
      <x:c r="W31" t="str"/>
      <x:c r="X31" s="8" t="str">
        <x:v>Zona</x:v>
      </x:c>
      <x:c r="Y31" s="8" t="str">
        <x:v>Media</x:v>
      </x:c>
      <x:c r="Z31" s="8" t="str">
        <x:v>Revisión de programación y costos para estación de bombeo, corrección de colector y trasiego seguro sobre el río San Isidro.</x:v>
      </x:c>
      <x:c r="AA31" s="8" t="str">
        <x:v>Punto de referencia aportado por el titular. Para programas, estudios o redes multisede no representa necesariamente una instalación puntual.</x:v>
      </x:c>
      <x:c r="AB31" s="8" t="str">
        <x:v>turn6search525</x:v>
      </x:c>
      <x:c r="AC31" t="str">
        <x:v>Coordenada revisada y proporcionada por el titular, 2026-10-07</x:v>
      </x:c>
    </x:row>
    <x:row r="32">
      <x:c r="A32" t="str">
        <x:v>T13</x:v>
      </x:c>
      <x:c r="B32" t="str">
        <x:v>Proyecto</x:v>
      </x:c>
      <x:c r="C32" s="8" t="str">
        <x:v>Plantel y mejoras PTAR San Isidro</x:v>
      </x:c>
      <x:c r="D32" t="str">
        <x:v>AyA</x:v>
      </x:c>
      <x:c r="E32" t="str">
        <x:v>Costa Rica</x:v>
      </x:c>
      <x:c r="F32" t="str">
        <x:v>San José</x:v>
      </x:c>
      <x:c r="G32" t="str">
        <x:v>San Isidro de El General</x:v>
      </x:c>
      <x:c r="H32" s="10" t="n">
        <x:v>9.3893622580037</x:v>
      </x:c>
      <x:c r="I32" s="10" t="n">
        <x:v>-83.70778394317274</x:v>
      </x:c>
      <x:c r="J32" t="str">
        <x:v>2022</x:v>
      </x:c>
      <x:c r="K32" t="str"/>
      <x:c r="L32" t="str">
        <x:v>Planificación y control de inversión</x:v>
      </x:c>
      <x:c r="M32" t="str">
        <x:v>Intervención / seguimiento</x:v>
      </x:c>
      <x:c r="N32" t="str">
        <x:v>Programación y Control / Periféricos</x:v>
      </x:c>
      <x:c r="O32" s="8" t="str">
        <x:v>Revisión de cartera y programación para infraestructura de plantel, resguardo de equipo y mejoras de accesos.</x:v>
      </x:c>
      <x:c r="P32" t="str">
        <x:v>Ingeniería hidráulica,Planificación y análisis</x:v>
      </x:c>
      <x:c r="Q32" t="str"/>
      <x:c r="R32" s="8" t="str">
        <x:v>Localidad aproximada</x:v>
      </x:c>
      <x:c r="S32" t="str">
        <x:v>yes</x:v>
      </x:c>
      <x:c r="T32" t="str">
        <x:v>Trayectoria 2017–2026 (archivo aportado)</x:v>
      </x:c>
      <x:c r="U32" s="8" t="str">
        <x:v>https://mapcarta.com/es/San_Isidro_de_El_General</x:v>
      </x:c>
      <x:c r="V32" t="str">
        <x:v>https://www.google.com/maps/search/?api=1&amp;query=9.38936225800370%2C-83.70778394317274</x:v>
      </x:c>
      <x:c r="W32" t="str"/>
      <x:c r="X32" s="8" t="str">
        <x:v>Zona</x:v>
      </x:c>
      <x:c r="Y32" s="8" t="str">
        <x:v>Media</x:v>
      </x:c>
      <x:c r="Z32" s="8" t="str">
        <x:v>Revisión de cartera y programación para infraestructura de plantel, resguardo de equipo y mejoras de accesos.</x:v>
      </x:c>
      <x:c r="AA32" s="8" t="str">
        <x:v>Punto de referencia aportado por el titular. Para programas, estudios o redes multisede no representa necesariamente una instalación puntual.</x:v>
      </x:c>
      <x:c r="AB32" s="8" t="str">
        <x:v>turn6search525</x:v>
      </x:c>
      <x:c r="AC32" t="str">
        <x:v>Coordenada revisada y proporcionada por el titular, 2026-10-07</x:v>
      </x:c>
    </x:row>
    <x:row r="33">
      <x:c r="A33" t="str">
        <x:v>T14</x:v>
      </x:c>
      <x:c r="B33" t="str">
        <x:v>Proyecto</x:v>
      </x:c>
      <x:c r="C33" s="8" t="str">
        <x:v>Prefactibilidades y formulación de infraestructura hidráulica</x:v>
      </x:c>
      <x:c r="D33" t="str">
        <x:v>AyA</x:v>
      </x:c>
      <x:c r="E33" t="str">
        <x:v>Costa Rica</x:v>
      </x:c>
      <x:c r="F33" t="str">
        <x:v>GAM / Nacional</x:v>
      </x:c>
      <x:c r="G33" t="str">
        <x:v>San José / Periféricos</x:v>
      </x:c>
      <x:c r="H33" s="10" t="n">
        <x:v>9.939163048006971</x:v>
      </x:c>
      <x:c r="I33" s="10" t="n">
        <x:v>-84.1183104773215</x:v>
      </x:c>
      <x:c r="J33" t="str">
        <x:v>2022</x:v>
      </x:c>
      <x:c r="K33" t="str">
        <x:v>2023</x:v>
      </x:c>
      <x:c r="L33" t="str">
        <x:v>Prefactibilidad, formulación, supervisión y analítica</x:v>
      </x:c>
      <x:c r="M33" t="str">
        <x:v>Estudio / gestión</x:v>
      </x:c>
      <x:c r="N33" t="str">
        <x:v>Producción y Distribución / Periféricos</x:v>
      </x:c>
      <x:c r="O33" s="8" t="str">
        <x:v>Preparación de estudios de prefactibilidad, apoyo a supervisión técnica de pozos y conducciones, formulación de proyectos y desarrollo de modelos de datos y tableros para planificación.</x:v>
      </x:c>
      <x:c r="P33" t="str">
        <x:v>Ingeniería hidráulica,Planificación y análisis</x:v>
      </x:c>
      <x:c r="Q33" t="str"/>
      <x:c r="R33" s="8" t="str">
        <x:v>Nacional / multisitio</x:v>
      </x:c>
      <x:c r="S33" t="str">
        <x:v>yes</x:v>
      </x:c>
      <x:c r="T33" t="str">
        <x:v>Trayectoria 2017–2026 (archivo aportado)</x:v>
      </x:c>
      <x:c r="U33" s="8" t="str"/>
      <x:c r="V33" t="str">
        <x:v>https://www.google.com/maps/search/?api=1&amp;query=9.93916304800697%2C-84.11831047732150</x:v>
      </x:c>
      <x:c r="W33" t="str"/>
      <x:c r="X33" s="8" t="str">
        <x:v>Regional</x:v>
      </x:c>
      <x:c r="Y33" s="8" t="str">
        <x:v>Alta</x:v>
      </x:c>
      <x:c r="Z33" s="8" t="str">
        <x:v>Preparación de estudios de prefactibilidad, apoyo a supervisión técnica de pozos y conducciones, formulación de proyectos y desarrollo de modelos de datos y tableros para planificación.</x:v>
      </x:c>
      <x:c r="AA33" s="8" t="str">
        <x:v>Punto de referencia aportado por el titular. Para programas, estudios o redes multisede no representa necesariamente una instalación puntual.</x:v>
      </x:c>
      <x:c r="AB33" s="8" t="str">
        <x:v>turn2search442; turn6search563</x:v>
      </x:c>
      <x:c r="AC33" t="str">
        <x:v>Coordenada revisada y proporcionada por el titular, 2026-10-07</x:v>
      </x:c>
    </x:row>
    <x:row r="34">
      <x:c r="A34" t="str">
        <x:v>T15</x:v>
      </x:c>
      <x:c r="B34" t="str">
        <x:v>Proyecto</x:v>
      </x:c>
      <x:c r="C34" s="8" t="str">
        <x:v>Estudio de Factibilidad PAAM V Etapa</x:v>
      </x:c>
      <x:c r="D34" t="str">
        <x:v>AyA</x:v>
      </x:c>
      <x:c r="E34" t="str">
        <x:v>Costa Rica</x:v>
      </x:c>
      <x:c r="F34" t="str">
        <x:v>Cartago y San José</x:v>
      </x:c>
      <x:c r="G34" t="str">
        <x:v>Río Macho / El Llano</x:v>
      </x:c>
      <x:c r="H34" s="10" t="n">
        <x:v>9.765310222991884</x:v>
      </x:c>
      <x:c r="I34" s="10" t="n">
        <x:v>-83.85862554910005</x:v>
      </x:c>
      <x:c r="J34" t="str">
        <x:v>2023</x:v>
      </x:c>
      <x:c r="K34" t="str"/>
      <x:c r="L34" t="str">
        <x:v>Factibilidad técnica, análisis financiero, institucional y de riesgo</x:v>
      </x:c>
      <x:c r="M34" t="str">
        <x:v>Estudio / gestión</x:v>
      </x:c>
      <x:c r="N34" t="str">
        <x:v>Periféricos / PAAM</x:v>
      </x:c>
      <x:c r="O34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P34" t="str">
        <x:v>Ingeniería hidráulica,Planificación y análisis</x:v>
      </x:c>
      <x:c r="Q34" t="str"/>
      <x:c r="R34" s="8" t="str">
        <x:v>Zona aproximada</x:v>
      </x:c>
      <x:c r="S34" t="str">
        <x:v>yes</x:v>
      </x:c>
      <x:c r="T34" t="str">
        <x:v>Trayectoria 2017–2026 (archivo aportado)</x:v>
      </x:c>
      <x:c r="U34" s="8" t="str">
        <x:v>https://mapcarta.com/W102253746</x:v>
      </x:c>
      <x:c r="V34" t="str">
        <x:v>https://www.google.com/maps/search/?api=1&amp;query=9.76531022299188%2C-83.85862554910005</x:v>
      </x:c>
      <x:c r="W34" t="str"/>
      <x:c r="X34" s="8" t="str">
        <x:v>Zona</x:v>
      </x:c>
      <x:c r="Y34" s="8" t="str">
        <x:v>Alta</x:v>
      </x:c>
      <x:c r="Z34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AA34" s="8" t="str">
        <x:v>Punto de referencia aportado por el titular. Para programas, estudios o redes multisede no representa necesariamente una instalación puntual.</x:v>
      </x:c>
      <x:c r="AB34" s="8" t="str">
        <x:v>turn2search436; turn6search428; turn6search432; turn6search439; turn6search451</x:v>
      </x:c>
      <x:c r="AC34" t="str">
        <x:v>Coordenada revisada y proporcionada por el titular, 2026-10-07</x:v>
      </x:c>
    </x:row>
    <x:row r="35">
      <x:c r="A35" t="str">
        <x:v>T16</x:v>
      </x:c>
      <x:c r="B35" t="str">
        <x:v>Proyecto</x:v>
      </x:c>
      <x:c r="C35" s="8" t="str">
        <x:v>Ficha técnica y respuesta institucional PAAM</x:v>
      </x:c>
      <x:c r="D35" t="str">
        <x:v>AyA</x:v>
      </x:c>
      <x:c r="E35" t="str">
        <x:v>Costa Rica</x:v>
      </x:c>
      <x:c r="F35" t="str">
        <x:v>Cartago y San José</x:v>
      </x:c>
      <x:c r="G35" t="str">
        <x:v>Río Macho / El Llano</x:v>
      </x:c>
      <x:c r="H35" s="10" t="n">
        <x:v>9.765310222991884</x:v>
      </x:c>
      <x:c r="I35" s="10" t="n">
        <x:v>-83.85862554910005</x:v>
      </x:c>
      <x:c r="J35" t="str">
        <x:v>2023</x:v>
      </x:c>
      <x:c r="K35" t="str"/>
      <x:c r="L35" t="str">
        <x:v>Síntesis técnica, seguimiento y respuesta institucional</x:v>
      </x:c>
      <x:c r="M35" t="str">
        <x:v>Estudio / gestión</x:v>
      </x:c>
      <x:c r="N35" t="str">
        <x:v>Periféricos / PAAM</x:v>
      </x:c>
      <x:c r="O35" s="8" t="str">
        <x:v>Preparación y revisión de fichas descriptivas, estado del proyecto, costos, financiamiento, adquisición de terrenos, cronograma y respuesta para recurso de amparo.</x:v>
      </x:c>
      <x:c r="P35" t="str">
        <x:v>Ingeniería hidráulica,Planificación y análisis</x:v>
      </x:c>
      <x:c r="Q35" t="str"/>
      <x:c r="R35" s="8" t="str">
        <x:v>Zona aproximada</x:v>
      </x:c>
      <x:c r="S35" t="str">
        <x:v>yes</x:v>
      </x:c>
      <x:c r="T35" t="str">
        <x:v>Trayectoria 2017–2026 (archivo aportado)</x:v>
      </x:c>
      <x:c r="U35" s="8" t="str">
        <x:v>https://mapcarta.com/W102253746</x:v>
      </x:c>
      <x:c r="V35" t="str">
        <x:v>https://www.google.com/maps/search/?api=1&amp;query=9.76531022299188%2C-83.85862554910005</x:v>
      </x:c>
      <x:c r="W35" t="str"/>
      <x:c r="X35" s="8" t="str">
        <x:v>Zona</x:v>
      </x:c>
      <x:c r="Y35" s="8" t="str">
        <x:v>Alta</x:v>
      </x:c>
      <x:c r="Z35" s="8" t="str">
        <x:v>Preparación y revisión de fichas descriptivas, estado del proyecto, costos, financiamiento, adquisición de terrenos, cronograma y respuesta para recurso de amparo.</x:v>
      </x:c>
      <x:c r="AA35" s="8" t="str">
        <x:v>Punto de referencia aportado por el titular. Para programas, estudios o redes multisede no representa necesariamente una instalación puntual.</x:v>
      </x:c>
      <x:c r="AB35" s="8" t="str">
        <x:v>turn6search429; turn6search431</x:v>
      </x:c>
      <x:c r="AC35" t="str">
        <x:v>Coordenada revisada y proporcionada por el titular, 2026-10-07</x:v>
      </x:c>
    </x:row>
    <x:row r="36">
      <x:c r="A36" t="str">
        <x:v>T17</x:v>
      </x:c>
      <x:c r="B36" t="str">
        <x:v>Proyecto</x:v>
      </x:c>
      <x:c r="C36" s="8" t="str">
        <x:v>Pozo San Blas e interconexión Los Sitios-Guadalupe</x:v>
      </x:c>
      <x:c r="D36" t="str">
        <x:v>AyA</x:v>
      </x:c>
      <x:c r="E36" t="str">
        <x:v>Costa Rica</x:v>
      </x:c>
      <x:c r="F36" t="str">
        <x:v>San José</x:v>
      </x:c>
      <x:c r="G36" t="str">
        <x:v>San Blas / Moravia</x:v>
      </x:c>
      <x:c r="H36" s="10" t="n">
        <x:v>9.964014828938442</x:v>
      </x:c>
      <x:c r="I36" s="10" t="n">
        <x:v>-84.03732743593385</x:v>
      </x:c>
      <x:c r="J36" t="str">
        <x:v>2024</x:v>
      </x:c>
      <x:c r="K36" t="str"/>
      <x:c r="L36" t="str">
        <x:v>Seguimiento técnico de ejecución y reporte de proyectos</x:v>
      </x:c>
      <x:c r="M36" t="str">
        <x:v>Intervención / seguimiento</x:v>
      </x:c>
      <x:c r="N36" t="str">
        <x:v>Optimización de Sistemas GAM</x:v>
      </x:c>
      <x:c r="O36" s="8" t="str">
        <x:v>Revisión y validación de estado de ejecución, alcance electromecánico, casetas, cloración, extensión eléctrica e interconexiones para mejorar abastecimiento.</x:v>
      </x:c>
      <x:c r="P36" t="str">
        <x:v>Ingeniería hidráulica,Planificación y análisis</x:v>
      </x:c>
      <x:c r="Q36" t="str"/>
      <x:c r="R36" s="8" t="str">
        <x:v>Localidad aproximada</x:v>
      </x:c>
      <x:c r="S36" t="str">
        <x:v>yes</x:v>
      </x:c>
      <x:c r="T36" t="str">
        <x:v>Trayectoria 2017–2026 (archivo aportado)</x:v>
      </x:c>
      <x:c r="U36" s="8" t="str"/>
      <x:c r="V36" t="str">
        <x:v>https://www.google.com/maps/search/?api=1&amp;query=9.96401482893844%2C-84.03732743593385</x:v>
      </x:c>
      <x:c r="W36" t="str"/>
      <x:c r="X36" s="8" t="str">
        <x:v>Zona</x:v>
      </x:c>
      <x:c r="Y36" s="8" t="str">
        <x:v>Alta</x:v>
      </x:c>
      <x:c r="Z36" s="8" t="str">
        <x:v>Revisión y validación de estado de ejecución, alcance electromecánico, casetas, cloración, extensión eléctrica e interconexiones para mejorar abastecimiento.</x:v>
      </x:c>
      <x:c r="AA36" s="8" t="str">
        <x:v>Punto de referencia aportado por el titular. Para programas, estudios o redes multisede no representa necesariamente una instalación puntual.</x:v>
      </x:c>
      <x:c r="AB36" s="8" t="str">
        <x:v>turn6search450</x:v>
      </x:c>
      <x:c r="AC36" t="str">
        <x:v>Coordenada revisada y proporcionada por el titular, 2026-10-07</x:v>
      </x:c>
    </x:row>
    <x:row r="37">
      <x:c r="A37" t="str">
        <x:v>T18</x:v>
      </x:c>
      <x:c r="B37" t="str">
        <x:v>Proyecto</x:v>
      </x:c>
      <x:c r="C37" s="8" t="str">
        <x:v>Captación e impulsión Río Agra-San Jerónimo</x:v>
      </x:c>
      <x:c r="D37" t="str">
        <x:v>AyA</x:v>
      </x:c>
      <x:c r="E37" t="str">
        <x:v>Costa Rica</x:v>
      </x:c>
      <x:c r="F37" t="str">
        <x:v>San José</x:v>
      </x:c>
      <x:c r="G37" t="str">
        <x:v>San Jerónimo de Moravia</x:v>
      </x:c>
      <x:c r="H37" s="10" t="n">
        <x:v>10.014838896102006</x:v>
      </x:c>
      <x:c r="I37" s="10" t="n">
        <x:v>-83.99757392009057</x:v>
      </x:c>
      <x:c r="J37" t="str">
        <x:v>2024</x:v>
      </x:c>
      <x:c r="K37" t="str"/>
      <x:c r="L37" t="str">
        <x:v>Seguimiento técnico y reporte ejecutivo</x:v>
      </x:c>
      <x:c r="M37" t="str">
        <x:v>Intervención / seguimiento</x:v>
      </x:c>
      <x:c r="N37" t="str">
        <x:v>Optimización de Sistemas GAM</x:v>
      </x:c>
      <x:c r="O37" s="8" t="str">
        <x:v>Seguimiento de electrificación de estación de bombeo, operación temporal con generador y estado del proyecto para aumentar el abastecimiento.</x:v>
      </x:c>
      <x:c r="P37" t="str">
        <x:v>Ingeniería hidráulica,Planificación y análisis</x:v>
      </x:c>
      <x:c r="Q37" t="str"/>
      <x:c r="R37" s="8" t="str">
        <x:v>Localidad aproximada</x:v>
      </x:c>
      <x:c r="S37" t="str">
        <x:v>yes</x:v>
      </x:c>
      <x:c r="T37" t="str">
        <x:v>Trayectoria 2017–2026 (archivo aportado)</x:v>
      </x:c>
      <x:c r="U37" s="8" t="str"/>
      <x:c r="V37" t="str">
        <x:v>https://www.google.com/maps/search/?api=1&amp;query=10.01483889610201%2C-83.99757392009057</x:v>
      </x:c>
      <x:c r="W37" t="str"/>
      <x:c r="X37" s="8" t="str">
        <x:v>Zona</x:v>
      </x:c>
      <x:c r="Y37" s="8" t="str">
        <x:v>Alta</x:v>
      </x:c>
      <x:c r="Z37" s="8" t="str">
        <x:v>Seguimiento de electrificación de estación de bombeo, operación temporal con generador y estado del proyecto para aumentar el abastecimiento.</x:v>
      </x:c>
      <x:c r="AA37" s="8" t="str">
        <x:v>Punto de referencia aportado por el titular. Para programas, estudios o redes multisede no representa necesariamente una instalación puntual.</x:v>
      </x:c>
      <x:c r="AB37" s="8" t="str">
        <x:v>turn6search450</x:v>
      </x:c>
      <x:c r="AC37" t="str">
        <x:v>Coordenada revisada y proporcionada por el titular, 2026-10-07</x:v>
      </x:c>
    </x:row>
    <x:row r="38">
      <x:c r="A38" t="str">
        <x:v>T19</x:v>
      </x:c>
      <x:c r="B38" t="str">
        <x:v>Proyecto</x:v>
      </x:c>
      <x:c r="C38" s="8" t="str">
        <x:v>Incorporación del pozo Guadalupe</x:v>
      </x:c>
      <x:c r="D38" t="str">
        <x:v>AyA</x:v>
      </x:c>
      <x:c r="E38" t="str">
        <x:v>Costa Rica</x:v>
      </x:c>
      <x:c r="F38" t="str">
        <x:v>San José</x:v>
      </x:c>
      <x:c r="G38" t="str">
        <x:v>Guadalupe / Goicoechea</x:v>
      </x:c>
      <x:c r="H38" s="10" t="n">
        <x:v>9.96408020654612</x:v>
      </x:c>
      <x:c r="I38" s="10" t="n">
        <x:v>-84.0310362737298</x:v>
      </x:c>
      <x:c r="J38" t="str">
        <x:v>2024</x:v>
      </x:c>
      <x:c r="K38" t="str"/>
      <x:c r="L38" t="str">
        <x:v>Prefactibilidad, seguimiento y programación</x:v>
      </x:c>
      <x:c r="M38" t="str">
        <x:v>Intervención / seguimiento</x:v>
      </x:c>
      <x:c r="N38" t="str">
        <x:v>Optimización de Sistemas GAM</x:v>
      </x:c>
      <x:c r="O38" s="8" t="str">
        <x:v>Seguimiento del pozo perforado, limpieza, armado, prueba de bombeo y búsqueda de recursos para su incorporación al sistema.</x:v>
      </x:c>
      <x:c r="P38" t="str">
        <x:v>Ingeniería hidráulica,Planificación y análisis</x:v>
      </x:c>
      <x:c r="Q38" t="str"/>
      <x:c r="R38" s="8" t="str">
        <x:v>Localidad aproximada</x:v>
      </x:c>
      <x:c r="S38" t="str">
        <x:v>yes</x:v>
      </x:c>
      <x:c r="T38" t="str">
        <x:v>Trayectoria 2017–2026 (archivo aportado)</x:v>
      </x:c>
      <x:c r="U38" s="8" t="str"/>
      <x:c r="V38" t="str">
        <x:v>https://www.google.com/maps/search/?api=1&amp;query=9.96408020654612%2C-84.03103627372980</x:v>
      </x:c>
      <x:c r="W38" t="str"/>
      <x:c r="X38" s="8" t="str">
        <x:v>Zona</x:v>
      </x:c>
      <x:c r="Y38" s="8" t="str">
        <x:v>Alta</x:v>
      </x:c>
      <x:c r="Z38" s="8" t="str">
        <x:v>Seguimiento del pozo perforado, limpieza, armado, prueba de bombeo y búsqueda de recursos para su incorporación al sistema.</x:v>
      </x:c>
      <x:c r="AA38" s="8" t="str">
        <x:v>Punto de referencia aportado por el titular. Para programas, estudios o redes multisede no representa necesariamente una instalación puntual.</x:v>
      </x:c>
      <x:c r="AB38" s="8" t="str">
        <x:v>turn6search450</x:v>
      </x:c>
      <x:c r="AC38" t="str">
        <x:v>Coordenada revisada y proporcionada por el titular, 2026-10-07</x:v>
      </x:c>
    </x:row>
    <x:row r="39">
      <x:c r="A39" t="str">
        <x:v>T21</x:v>
      </x:c>
      <x:c r="B39" t="str">
        <x:v>Proyecto</x:v>
      </x:c>
      <x:c r="C39" s="8" t="str">
        <x:v>Servicios de ingeniería para catastro y sectorización</x:v>
      </x:c>
      <x:c r="D39" t="str">
        <x:v>AyA</x:v>
      </x:c>
      <x:c r="E39" t="str">
        <x:v>Costa Rica</x:v>
      </x:c>
      <x:c r="F39" t="str">
        <x:v>GAM / Nacional</x:v>
      </x:c>
      <x:c r="G39" t="str">
        <x:v>GAM</x:v>
      </x:c>
      <x:c r="H39" s="10" t="n">
        <x:v>9.939163048006971</x:v>
      </x:c>
      <x:c r="I39" s="10" t="n">
        <x:v>-84.1183104773215</x:v>
      </x:c>
      <x:c r="J39" t="str">
        <x:v>2024</x:v>
      </x:c>
      <x:c r="K39" t="str">
        <x:v>2025</x:v>
      </x:c>
      <x:c r="L39" t="str">
        <x:v>Criterio técnico, diseño de intervención y coordinación de servicios de ingenier</x:v>
      </x:c>
      <x:c r="M39" t="str">
        <x:v>Intervención / seguimiento</x:v>
      </x:c>
      <x:c r="N39" t="str">
        <x:v>Optimización de Sistemas GAM / RANC</x:v>
      </x:c>
      <x:c r="O39" s="8" t="str">
        <x:v>Definición de requerimientos prácticos para georradar, calicatas, válvulas, accesorios, comunicación de caudalímetros, coordinación con CCO, inspección, modelación y análisis de mediciones.</x:v>
      </x:c>
      <x:c r="P39" t="str">
        <x:v>Ingeniería hidráulica,Planificación y análisis</x:v>
      </x:c>
      <x:c r="Q39" t="str"/>
      <x:c r="R39" s="8" t="str">
        <x:v>Regional / multisitio</x:v>
      </x:c>
      <x:c r="S39" t="str">
        <x:v>yes</x:v>
      </x:c>
      <x:c r="T39" t="str">
        <x:v>Trayectoria 2017–2026 (archivo aportado)</x:v>
      </x:c>
      <x:c r="U39" s="8" t="str"/>
      <x:c r="V39" t="str">
        <x:v>https://www.google.com/maps/search/?api=1&amp;query=9.93916304800697%2C-84.11831047732150</x:v>
      </x:c>
      <x:c r="W39" t="str"/>
      <x:c r="X39" s="8" t="str">
        <x:v>Regional</x:v>
      </x:c>
      <x:c r="Y39" s="8" t="str">
        <x:v>Alta</x:v>
      </x:c>
      <x:c r="Z39" s="8" t="str">
        <x:v>Definición de requerimientos prácticos para georradar, calicatas, válvulas, accesorios, comunicación de caudalímetros, coordinación con CCO, inspección, modelación y análisis de mediciones.</x:v>
      </x:c>
      <x:c r="AA39" s="8" t="str">
        <x:v>Punto de referencia aportado por el titular. Para programas, estudios o redes multisede no representa necesariamente una instalación puntual.</x:v>
      </x:c>
      <x:c r="AB39" s="8" t="str">
        <x:v>turn6search448</x:v>
      </x:c>
      <x:c r="AC39" t="str">
        <x:v>Coordenada revisada y proporcionada por el titular, 2026-10-07</x:v>
      </x:c>
    </x:row>
    <x:row r="40">
      <x:c r="A40" t="str">
        <x:v>T24</x:v>
      </x:c>
      <x:c r="B40" t="str">
        <x:v>Proyecto</x:v>
      </x:c>
      <x:c r="C40" s="8" t="str">
        <x:v>Análisis de demanda y escenarios GAM 2024</x:v>
      </x:c>
      <x:c r="D40" t="str">
        <x:v>AyA</x:v>
      </x:c>
      <x:c r="E40" t="str">
        <x:v>Costa Rica</x:v>
      </x:c>
      <x:c r="F40" t="str">
        <x:v>GAM / Nacional</x:v>
      </x:c>
      <x:c r="G40" t="str">
        <x:v>GAM</x:v>
      </x:c>
      <x:c r="H40" s="10" t="n">
        <x:v>9.939163048006971</x:v>
      </x:c>
      <x:c r="I40" s="10" t="n">
        <x:v>-84.1183104773215</x:v>
      </x:c>
      <x:c r="J40" t="str">
        <x:v>2025</x:v>
      </x:c>
      <x:c r="K40" t="str"/>
      <x:c r="L40" t="str">
        <x:v>Análisis de demanda, riesgos y planificación</x:v>
      </x:c>
      <x:c r="M40" t="str">
        <x:v>Estudio / gestión</x:v>
      </x:c>
      <x:c r="N40" t="str">
        <x:v>Mejoramiento de Sistemas GAM</x:v>
      </x:c>
      <x:c r="O40" s="8" t="str">
        <x:v>Dirección y elaboración de análisis de demanda, eventos críticos y planes de seguridad del agua para sustentar escenarios y planificación.</x:v>
      </x:c>
      <x:c r="P40" t="str">
        <x:v>Ingeniería hidráulica,Planificación y análisis</x:v>
      </x:c>
      <x:c r="Q40" t="str"/>
      <x:c r="R40" s="8" t="str">
        <x:v>Regional / multisitio</x:v>
      </x:c>
      <x:c r="S40" t="str">
        <x:v>yes</x:v>
      </x:c>
      <x:c r="T40" t="str">
        <x:v>Trayectoria 2017–2026 (archivo aportado)</x:v>
      </x:c>
      <x:c r="U40" s="8" t="str"/>
      <x:c r="V40" t="str">
        <x:v>https://www.google.com/maps/search/?api=1&amp;query=9.93916304800697%2C-84.11831047732150</x:v>
      </x:c>
      <x:c r="W40" t="str"/>
      <x:c r="X40" s="8" t="str">
        <x:v>Regional</x:v>
      </x:c>
      <x:c r="Y40" s="8" t="str">
        <x:v>Alta</x:v>
      </x:c>
      <x:c r="Z40" s="8" t="str">
        <x:v>Dirección y elaboración de análisis de demanda, eventos críticos y planes de seguridad del agua para sustentar escenarios y planificación.</x:v>
      </x:c>
      <x:c r="AA40" s="8" t="str">
        <x:v>Punto de referencia aportado por el titular. Para programas, estudios o redes multisede no representa necesariamente una instalación puntual.</x:v>
      </x:c>
      <x:c r="AB40" s="8" t="str">
        <x:v>turn6search564</x:v>
      </x:c>
      <x:c r="AC40" t="str">
        <x:v>Coordenada revisada y proporcionada por el titular, 2026-10-07</x:v>
      </x:c>
    </x:row>
    <x:row r="41">
      <x:c r="A41" t="str">
        <x:v>T25</x:v>
      </x:c>
      <x:c r="B41" t="str">
        <x:v>Proyecto</x:v>
      </x:c>
      <x:c r="C41" s="8" t="str">
        <x:v>Criterio técnico mediante georradar para conexión de servicio</x:v>
      </x:c>
      <x:c r="D41" t="str">
        <x:v>AyA</x:v>
      </x:c>
      <x:c r="E41" t="str">
        <x:v>Costa Rica</x:v>
      </x:c>
      <x:c r="F41" t="str">
        <x:v>San José</x:v>
      </x:c>
      <x:c r="G41" t="str">
        <x:v>San José (sin sitio publicado)</x:v>
      </x:c>
      <x:c r="H41" s="10" t="n">
        <x:v>9.939163048006971</x:v>
      </x:c>
      <x:c r="I41" s="10" t="n">
        <x:v>-84.1183104773215</x:v>
      </x:c>
      <x:c r="J41" t="str">
        <x:v>2025</x:v>
      </x:c>
      <x:c r="K41" t="str"/>
      <x:c r="L41" t="str">
        <x:v>Inspección técnica, georradar y factibilidad de conexión</x:v>
      </x:c>
      <x:c r="M41" t="str">
        <x:v>Estudio / gestión</x:v>
      </x:c>
      <x:c r="N41" t="str">
        <x:v>Mejoramiento de Sistemas GAM</x:v>
      </x:c>
      <x:c r="O41" s="8" t="str">
        <x:v>Dirección del estudio, uso de georradar, análisis de tubería, acceso vial, servidumbre y posibilidad de futuro ramal.</x:v>
      </x:c>
      <x:c r="P41" t="str">
        <x:v>Ingeniería hidráulica,Planificación y análisis</x:v>
      </x:c>
      <x:c r="Q41" t="str"/>
      <x:c r="R41" s="8" t="str">
        <x:v>Sin ubicación precisa</x:v>
      </x:c>
      <x:c r="S41" t="str">
        <x:v>yes</x:v>
      </x:c>
      <x:c r="T41" t="str">
        <x:v>Trayectoria 2017–2026 (archivo aportado)</x:v>
      </x:c>
      <x:c r="U41" s="8" t="str"/>
      <x:c r="V41" t="str">
        <x:v>https://www.google.com/maps/search/?api=1&amp;query=9.93916304800697%2C-84.11831047732150</x:v>
      </x:c>
      <x:c r="W41" t="str"/>
      <x:c r="X41" s="8" t="str">
        <x:v>Regional</x:v>
      </x:c>
      <x:c r="Y41" s="8" t="str">
        <x:v>Media</x:v>
      </x:c>
      <x:c r="Z41" s="8" t="str">
        <x:v>Dirección del estudio, uso de georradar, análisis de tubería, acceso vial, servidumbre y posibilidad de futuro ramal.</x:v>
      </x:c>
      <x:c r="AA41" s="8" t="str">
        <x:v>Punto de referencia aportado por el titular. Para programas, estudios o redes multisede no representa necesariamente una instalación puntual.</x:v>
      </x:c>
      <x:c r="AB41" s="8" t="str">
        <x:v>turn6search559</x:v>
      </x:c>
      <x:c r="AC41" t="str">
        <x:v>Coordenada revisada y proporcionada por el titular, 2026-10-07</x:v>
      </x:c>
    </x:row>
    <x:row r="42">
      <x:c r="A42" t="str">
        <x:v>T26</x:v>
      </x:c>
      <x:c r="B42" t="str">
        <x:v>Proyecto</x:v>
      </x:c>
      <x:c r="C42" s="8" t="str">
        <x:v>Trabajo aplicado: optimización del sistema de Cahuita</x:v>
      </x:c>
      <x:c r="D42" t="str">
        <x:v>AyA</x:v>
      </x:c>
      <x:c r="E42" t="str">
        <x:v>Costa Rica</x:v>
      </x:c>
      <x:c r="F42" t="str">
        <x:v>Limón</x:v>
      </x:c>
      <x:c r="G42" t="str">
        <x:v>Cahuita</x:v>
      </x:c>
      <x:c r="H42" s="10" t="n">
        <x:v>9.731571023862829</x:v>
      </x:c>
      <x:c r="I42" s="10" t="n">
        <x:v>-82.84513525696532</x:v>
      </x:c>
      <x:c r="J42" t="str">
        <x:v>2025</x:v>
      </x:c>
      <x:c r="K42" t="str">
        <x:v>2026</x:v>
      </x:c>
      <x:c r="L42" t="str">
        <x:v>Estudio técnico, modelación, costos y optimización</x:v>
      </x:c>
      <x:c r="M42" t="str">
        <x:v>Intervención / seguimiento</x:v>
      </x:c>
      <x:c r="N42" t="str">
        <x:v>Mejoramiento de Sistemas GAM</x:v>
      </x:c>
      <x:c r="O42" s="8" t="str">
        <x:v>Diagnóstico hidráulico, modelación en período extendido, sectorización, instrumentación, estimación de ANC, comparación IWA/EasyCalc/AWWA, costos de instrumentación y recomendaciones operativas.</x:v>
      </x:c>
      <x:c r="P42" t="str">
        <x:v>Ingeniería hidráulica,Planificación y análisis</x:v>
      </x:c>
      <x:c r="Q42" t="str"/>
      <x:c r="R42" s="8" t="str">
        <x:v>Localidad aproximada</x:v>
      </x:c>
      <x:c r="S42" t="str">
        <x:v>yes</x:v>
      </x:c>
      <x:c r="T42" t="str">
        <x:v>Trayectoria 2017–2026 (archivo aportado)</x:v>
      </x:c>
      <x:c r="U42" s="8" t="str"/>
      <x:c r="V42" t="str">
        <x:v>https://www.google.com/maps/search/?api=1&amp;query=9.73157102386283%2C-82.84513525696532</x:v>
      </x:c>
      <x:c r="W42" t="str"/>
      <x:c r="X42" s="8" t="str">
        <x:v>Zona</x:v>
      </x:c>
      <x:c r="Y42" s="8" t="str">
        <x:v>Alta</x:v>
      </x:c>
      <x:c r="Z42" s="8" t="str">
        <x:v>Diagnóstico hidráulico, modelación en período extendido, sectorización, instrumentación, estimación de ANC, comparación IWA/EasyCalc/AWWA, costos de instrumentación y recomendaciones operativas.</x:v>
      </x:c>
      <x:c r="AA42" s="8" t="str">
        <x:v>Punto de referencia aportado por el titular. Para programas, estudios o redes multisede no representa necesariamente una instalación puntual.</x:v>
      </x:c>
      <x:c r="AB42" s="8" t="str">
        <x:v>turn2search427; turn6search554</x:v>
      </x:c>
      <x:c r="AC42" t="str">
        <x:v>Coordenada revisada y proporcionada por el titular, 2026-10-07</x:v>
      </x:c>
    </x:row>
    <x:row r="43">
      <x:c r="A43" t="str">
        <x:v>T27</x:v>
      </x:c>
      <x:c r="B43" t="str">
        <x:v>Proyecto</x:v>
      </x:c>
      <x:c r="C43" s="8" t="str">
        <x:v>Actualización integral de capacidad hídrica GAM</x:v>
      </x:c>
      <x:c r="D43" t="str">
        <x:v>AyA</x:v>
      </x:c>
      <x:c r="E43" t="str">
        <x:v>Costa Rica</x:v>
      </x:c>
      <x:c r="F43" t="str">
        <x:v>San José, Heredia, Cartago y Alajuela</x:v>
      </x:c>
      <x:c r="G43" t="str">
        <x:v>GAM</x:v>
      </x:c>
      <x:c r="H43" s="10" t="n">
        <x:v>9.939163048006971</x:v>
      </x:c>
      <x:c r="I43" s="10" t="n">
        <x:v>-84.1183104773215</x:v>
      </x:c>
      <x:c r="J43" t="str">
        <x:v>2026</x:v>
      </x:c>
      <x:c r="K43" t="str"/>
      <x:c r="L43" t="str">
        <x:v>Balance hídrico, análisis de datos y planificación</x:v>
      </x:c>
      <x:c r="M43" t="str">
        <x:v>Intervención / seguimiento</x:v>
      </x:c>
      <x:c r="N43" t="str">
        <x:v>Mejoramiento de Sistemas GAM</x:v>
      </x:c>
      <x:c r="O43" s="8" t="str">
        <x:v>Liderazgo en balances oferta-demanda con datos SCADA, aforos, plantas, bombeo, trasvases, facturación, compromisos de caudal y proyectos; elaboración de informe y oficio para Planificación.</x:v>
      </x:c>
      <x:c r="P43" t="str">
        <x:v>Ingeniería hidráulica,Planificación y análisis</x:v>
      </x:c>
      <x:c r="Q43" t="str"/>
      <x:c r="R43" s="8" t="str">
        <x:v>Regional / multisitio</x:v>
      </x:c>
      <x:c r="S43" t="str">
        <x:v>yes</x:v>
      </x:c>
      <x:c r="T43" t="str">
        <x:v>Trayectoria 2017–2026 (archivo aportado)</x:v>
      </x:c>
      <x:c r="U43" s="8" t="str"/>
      <x:c r="V43" t="str">
        <x:v>https://www.google.com/maps/search/?api=1&amp;query=9.93916304800697%2C-84.11831047732150</x:v>
      </x:c>
      <x:c r="W43" t="str"/>
      <x:c r="X43" s="8" t="str">
        <x:v>Regional</x:v>
      </x:c>
      <x:c r="Y43" s="8" t="str">
        <x:v>Alta</x:v>
      </x:c>
      <x:c r="Z43" s="8" t="str">
        <x:v>Liderazgo en balances oferta-demanda con datos SCADA, aforos, plantas, bombeo, trasvases, facturación, compromisos de caudal y proyectos; elaboración de informe y oficio para Planificación.</x:v>
      </x:c>
      <x:c r="AA43" s="8" t="str">
        <x:v>Punto de referencia aportado por el titular. Para programas, estudios o redes multisede no representa necesariamente una instalación puntual.</x:v>
      </x:c>
      <x:c r="AB43" s="8" t="str">
        <x:v>turn1search302; turn6search455</x:v>
      </x:c>
      <x:c r="AC43" t="str">
        <x:v>Coordenada revisada y proporcionada por el titular, 2026-10-07</x:v>
      </x:c>
    </x:row>
    <x:row r="44">
      <x:c r="A44" t="str">
        <x:v>T28</x:v>
      </x:c>
      <x:c r="B44" t="str">
        <x:v>Proyecto</x:v>
      </x:c>
      <x:c r="C44" s="8" t="str">
        <x:v>Diagnóstico del balance Puente Mulas</x:v>
      </x:c>
      <x:c r="D44" t="str">
        <x:v>AyA</x:v>
      </x:c>
      <x:c r="E44" t="str">
        <x:v>Costa Rica</x:v>
      </x:c>
      <x:c r="F44" t="str">
        <x:v>Heredia y San José</x:v>
      </x:c>
      <x:c r="G44" t="str">
        <x:v>Belén / Puente Mulas</x:v>
      </x:c>
      <x:c r="H44" s="10" t="n">
        <x:v>9.972706975052512</x:v>
      </x:c>
      <x:c r="I44" s="10" t="n">
        <x:v>-84.18383232588455</x:v>
      </x:c>
      <x:c r="J44" t="str">
        <x:v>2026</x:v>
      </x:c>
      <x:c r="K44" t="str"/>
      <x:c r="L44" t="str">
        <x:v>Diagnóstico hidráulico y formulación de alternativas</x:v>
      </x:c>
      <x:c r="M44" t="str">
        <x:v>Intervención / seguimiento</x:v>
      </x:c>
      <x:c r="N44" t="str">
        <x:v>Mejoramiento de Sistemas GAM</x:v>
      </x:c>
      <x:c r="O44" s="8" t="str">
        <x:v>Comparación de fuentes y bombeo, identificación de reducción de producción, análisis de trasvases, déficit, ANC y medidas de recuperación.</x:v>
      </x:c>
      <x:c r="P44" t="str">
        <x:v>Ingeniería hidráulica,Planificación y análisis</x:v>
      </x:c>
      <x:c r="Q44" t="str"/>
      <x:c r="R44" s="8" t="str">
        <x:v>Zona aproximada</x:v>
      </x:c>
      <x:c r="S44" t="str">
        <x:v>yes</x:v>
      </x:c>
      <x:c r="T44" t="str">
        <x:v>Trayectoria 2017–2026 (archivo aportado)</x:v>
      </x:c>
      <x:c r="U44" s="8" t="str"/>
      <x:c r="V44" t="str">
        <x:v>https://www.google.com/maps/search/?api=1&amp;query=9.97270697505251%2C-84.18383232588455</x:v>
      </x:c>
      <x:c r="W44" t="str"/>
      <x:c r="X44" s="8" t="str">
        <x:v>Zona</x:v>
      </x:c>
      <x:c r="Y44" s="8" t="str">
        <x:v>Alta</x:v>
      </x:c>
      <x:c r="Z44" s="8" t="str">
        <x:v>Comparación de fuentes y bombeo, identificación de reducción de producción, análisis de trasvases, déficit, ANC y medidas de recuperación.</x:v>
      </x:c>
      <x:c r="AA44" s="8" t="str">
        <x:v>Punto de referencia aportado por el titular. Para programas, estudios o redes multisede no representa necesariamente una instalación puntual.</x:v>
      </x:c>
      <x:c r="AB44" s="8" t="str">
        <x:v>turn1search302; turn6search455</x:v>
      </x:c>
      <x:c r="AC44" t="str">
        <x:v>Coordenada revisada y proporcionada por el titular, 2026-10-07</x:v>
      </x:c>
    </x:row>
    <x:row r="45">
      <x:c r="A45" t="str">
        <x:v>T29</x:v>
      </x:c>
      <x:c r="B45" t="str">
        <x:v>Proyecto</x:v>
      </x:c>
      <x:c r="C45" s="8" t="str">
        <x:v>Alternativas de mejora para Puriscal 2026-2030</x:v>
      </x:c>
      <x:c r="D45" t="str">
        <x:v>AyA</x:v>
      </x:c>
      <x:c r="E45" t="str">
        <x:v>Costa Rica</x:v>
      </x:c>
      <x:c r="F45" t="str">
        <x:v>San José</x:v>
      </x:c>
      <x:c r="G45" t="str">
        <x:v>Santiago de Puriscal</x:v>
      </x:c>
      <x:c r="H45" s="10" t="n">
        <x:v>9.849264102346343</x:v>
      </x:c>
      <x:c r="I45" s="10" t="n">
        <x:v>-84.31233506798326</x:v>
      </x:c>
      <x:c r="J45" t="str">
        <x:v>2026</x:v>
      </x:c>
      <x:c r="K45" t="str"/>
      <x:c r="L45" t="str">
        <x:v>Diagnóstico, factibilidad y estrategia de inversión</x:v>
      </x:c>
      <x:c r="M45" t="str">
        <x:v>Intervención / seguimiento</x:v>
      </x:c>
      <x:c r="N45" t="str">
        <x:v>Mejoramiento de Sistemas GAM</x:v>
      </x:c>
      <x:c r="O45" s="8" t="str">
        <x:v>Dirección de informes, giras y formulación de alternativas sobre fuentes, medición, válvulas, conducciones, almacenamiento, bombeo, sostenibilidad hídrica, terrenos, servidumbres y factibilidad.</x:v>
      </x:c>
      <x:c r="P45" t="str">
        <x:v>Ingeniería hidráulica,Planificación y análisis</x:v>
      </x:c>
      <x:c r="Q45" t="str"/>
      <x:c r="R45" s="8" t="str">
        <x:v>Localidad aproximada</x:v>
      </x:c>
      <x:c r="S45" t="str">
        <x:v>yes</x:v>
      </x:c>
      <x:c r="T45" t="str">
        <x:v>Trayectoria 2017–2026 (archivo aportado)</x:v>
      </x:c>
      <x:c r="U45" s="8" t="str"/>
      <x:c r="V45" t="str">
        <x:v>https://www.google.com/maps/search/?api=1&amp;query=9.84926410234634%2C-84.31233506798326</x:v>
      </x:c>
      <x:c r="W45" t="str"/>
      <x:c r="X45" s="8" t="str">
        <x:v>Zona</x:v>
      </x:c>
      <x:c r="Y45" s="8" t="str">
        <x:v>Alta</x:v>
      </x:c>
      <x:c r="Z45" s="8" t="str">
        <x:v>Dirección de informes, giras y formulación de alternativas sobre fuentes, medición, válvulas, conducciones, almacenamiento, bombeo, sostenibilidad hídrica, terrenos, servidumbres y factibilidad.</x:v>
      </x:c>
      <x:c r="AA45" s="8" t="str">
        <x:v>Punto de referencia aportado por el titular. Para programas, estudios o redes multisede no representa necesariamente una instalación puntual.</x:v>
      </x:c>
      <x:c r="AB45" s="8" t="str">
        <x:v>turn2search425; turn6search568; turn6search570</x:v>
      </x:c>
      <x:c r="AC45" t="str">
        <x:v>Coordenada revisada y proporcionada por el titular, 2026-10-07</x:v>
      </x:c>
    </x:row>
    <x:row r="46">
      <x:c r="A46" t="str">
        <x:v>T30</x:v>
      </x:c>
      <x:c r="B46" t="str">
        <x:v>Proyecto</x:v>
      </x:c>
      <x:c r="C46" s="8" t="str">
        <x:v>Estudio Calle La Máquina</x:v>
      </x:c>
      <x:c r="D46" t="str">
        <x:v>AyA</x:v>
      </x:c>
      <x:c r="E46" t="str">
        <x:v>Costa Rica</x:v>
      </x:c>
      <x:c r="F46" t="str">
        <x:v>San José</x:v>
      </x:c>
      <x:c r="G46" t="str">
        <x:v>Grifo Alto / Puriscal</x:v>
      </x:c>
      <x:c r="H46" s="10" t="n">
        <x:v>9.877536595848015</x:v>
      </x:c>
      <x:c r="I46" s="10" t="n">
        <x:v>-84.3891344534344</x:v>
      </x:c>
      <x:c r="J46" t="str">
        <x:v>2026</x:v>
      </x:c>
      <x:c r="K46" t="str"/>
      <x:c r="L46" t="str">
        <x:v>Inspección, factibilidad y coordinación interinstitucional</x:v>
      </x:c>
      <x:c r="M46" t="str">
        <x:v>Estudio / gestión</x:v>
      </x:c>
      <x:c r="N46" t="str">
        <x:v>Mejoramiento de Sistemas GAM</x:v>
      </x:c>
      <x:c r="O46" s="8" t="str">
        <x:v>Visita técnica, mapas, evaluación de alternativas, revisión de estudio hidráulico 2020, disponibilidad/calidad del pozo, integración al sistema y recomendaciones de formulación y factibilidad.</x:v>
      </x:c>
      <x:c r="P46" t="str">
        <x:v>Ingeniería hidráulica,Planificación y análisis</x:v>
      </x:c>
      <x:c r="Q46" t="str"/>
      <x:c r="R46" s="8" t="str">
        <x:v>Localidad aproximada</x:v>
      </x:c>
      <x:c r="S46" t="str">
        <x:v>yes</x:v>
      </x:c>
      <x:c r="T46" t="str">
        <x:v>Trayectoria 2017–2026 (archivo aportado)</x:v>
      </x:c>
      <x:c r="U46" s="8" t="str"/>
      <x:c r="V46" t="str">
        <x:v>https://www.google.com/maps/search/?api=1&amp;query=9.87753659584802%2C-84.38913445343439</x:v>
      </x:c>
      <x:c r="W46" t="str"/>
      <x:c r="X46" s="8" t="str">
        <x:v>Zona</x:v>
      </x:c>
      <x:c r="Y46" s="8" t="str">
        <x:v>Alta</x:v>
      </x:c>
      <x:c r="Z46" s="8" t="str">
        <x:v>Visita técnica, mapas, evaluación de alternativas, revisión de estudio hidráulico 2020, disponibilidad/calidad del pozo, integración al sistema y recomendaciones de formulación y factibilidad.</x:v>
      </x:c>
      <x:c r="AA46" s="8" t="str">
        <x:v>Punto de referencia aportado por el titular. Para programas, estudios o redes multisede no representa necesariamente una instalación puntual.</x:v>
      </x:c>
      <x:c r="AB46" s="8" t="str">
        <x:v>turn2search354; turn2search416; turn6search562</x:v>
      </x:c>
      <x:c r="AC46" t="str">
        <x:v>Coordenada revisada y proporcionada por el titular, 2026-10-07</x:v>
      </x:c>
    </x:row>
    <x:row r="47">
      <x:c r="A47" t="str">
        <x:v>T31</x:v>
      </x:c>
      <x:c r="B47" t="str">
        <x:v>Proyecto</x:v>
      </x:c>
      <x:c r="C47" s="8" t="str">
        <x:v>Cierre del proyecto BPIP-2926 de macromedición</x:v>
      </x:c>
      <x:c r="D47" t="str">
        <x:v>AyA</x:v>
      </x:c>
      <x:c r="E47" t="str">
        <x:v>Costa Rica</x:v>
      </x:c>
      <x:c r="F47" t="str">
        <x:v>GAM / Nacional</x:v>
      </x:c>
      <x:c r="G47" t="str">
        <x:v>GAM</x:v>
      </x:c>
      <x:c r="H47" s="10" t="n">
        <x:v>9.939163048006971</x:v>
      </x:c>
      <x:c r="I47" s="10" t="n">
        <x:v>-84.1183104773215</x:v>
      </x:c>
      <x:c r="J47" t="str">
        <x:v>2026</x:v>
      </x:c>
      <x:c r="K47" t="str"/>
      <x:c r="L47" t="str">
        <x:v>Cierre de proyecto, evaluación y capitalización</x:v>
      </x:c>
      <x:c r="M47" t="str">
        <x:v>Intervención / seguimiento</x:v>
      </x:c>
      <x:c r="N47" t="str">
        <x:v>Mejoramiento de Sistemas GAM</x:v>
      </x:c>
      <x:c r="O47" s="8" t="str">
        <x:v>Autor del cierre técnico y administrativo; revisión de resultados, activos, medición, registro, sistematización, costos, lecciones aprendidas y liquidación técnica.</x:v>
      </x:c>
      <x:c r="P47" t="str">
        <x:v>Ingeniería hidráulica,Planificación y análisis</x:v>
      </x:c>
      <x:c r="Q47" t="str"/>
      <x:c r="R47" s="8" t="str">
        <x:v>Regional / multisitio</x:v>
      </x:c>
      <x:c r="S47" t="str">
        <x:v>yes</x:v>
      </x:c>
      <x:c r="T47" t="str">
        <x:v>Trayectoria 2017–2026 (archivo aportado)</x:v>
      </x:c>
      <x:c r="U47" s="8" t="str"/>
      <x:c r="V47" t="str">
        <x:v>https://www.google.com/maps/search/?api=1&amp;query=9.93916304800697%2C-84.11831047732150</x:v>
      </x:c>
      <x:c r="W47" t="str"/>
      <x:c r="X47" s="8" t="str">
        <x:v>Regional</x:v>
      </x:c>
      <x:c r="Y47" s="8" t="str">
        <x:v>Alta</x:v>
      </x:c>
      <x:c r="Z47" s="8" t="str">
        <x:v>Autor del cierre técnico y administrativo; revisión de resultados, activos, medición, registro, sistematización, costos, lecciones aprendidas y liquidación técnica.</x:v>
      </x:c>
      <x:c r="AA47" s="8" t="str">
        <x:v>Punto de referencia aportado por el titular. Para programas, estudios o redes multisede no representa necesariamente una instalación puntual.</x:v>
      </x:c>
      <x:c r="AB47" s="8" t="str">
        <x:v>turn6search574; turn6search455</x:v>
      </x:c>
      <x:c r="AC47" t="str">
        <x:v>Coordenada revisada y proporcionada por el titular, 2026-10-07</x:v>
      </x:c>
    </x:row>
    <x:row r="48">
      <x:c r="A48" t="str">
        <x:v>T32</x:v>
      </x:c>
      <x:c r="B48" t="str">
        <x:v>Proyecto</x:v>
      </x:c>
      <x:c r="C48" s="8" t="str">
        <x:v>Instalación de caudalímetros estratégicos</x:v>
      </x:c>
      <x:c r="D48" t="str">
        <x:v>AyA</x:v>
      </x:c>
      <x:c r="E48" t="str">
        <x:v>Costa Rica</x:v>
      </x:c>
      <x:c r="F48" t="str">
        <x:v>San José, Cartago y Alajuela</x:v>
      </x:c>
      <x:c r="G48" t="str">
        <x:v>Guadalupe / Goicoechea</x:v>
      </x:c>
      <x:c r="H48" s="10" t="n">
        <x:v>9.939163048006971</x:v>
      </x:c>
      <x:c r="I48" s="10" t="n">
        <x:v>-84.1183104773215</x:v>
      </x:c>
      <x:c r="J48" t="str">
        <x:v>2026</x:v>
      </x:c>
      <x:c r="K48" t="str"/>
      <x:c r="L48" t="str">
        <x:v>Instrumentación, telemetría y puesta en marcha</x:v>
      </x:c>
      <x:c r="M48" t="str">
        <x:v>Intervención / seguimiento</x:v>
      </x:c>
      <x:c r="N48" t="str">
        <x:v>Mejoramiento de Sistemas GAM</x:v>
      </x:c>
      <x:c r="O48" s="8" t="str">
        <x:v>Coordinación técnica para sustitución e instalación de caudalímetros, rangos de medición, integración eléctrica, comunicaciones, SCADA y control de producción.</x:v>
      </x:c>
      <x:c r="P48" t="str">
        <x:v>Ingeniería hidráulica,Planificación y análisis</x:v>
      </x:c>
      <x:c r="Q48" t="str"/>
      <x:c r="R48" s="8" t="str">
        <x:v>Multisitio / zona</x:v>
      </x:c>
      <x:c r="S48" t="str">
        <x:v>yes</x:v>
      </x:c>
      <x:c r="T48" t="str">
        <x:v>Trayectoria 2017–2026 (archivo aportado)</x:v>
      </x:c>
      <x:c r="U48" s="8" t="str"/>
      <x:c r="V48" t="str">
        <x:v>https://www.google.com/maps/search/?api=1&amp;query=9.93916304800697%2C-84.11831047732150</x:v>
      </x:c>
      <x:c r="W48" t="str"/>
      <x:c r="X48" s="8" t="str">
        <x:v>Zona</x:v>
      </x:c>
      <x:c r="Y48" s="8" t="str">
        <x:v>Alta</x:v>
      </x:c>
      <x:c r="Z48" s="8" t="str">
        <x:v>Coordinación técnica para sustitución e instalación de caudalímetros, rangos de medición, integración eléctrica, comunicaciones, SCADA y control de producción.</x:v>
      </x:c>
      <x:c r="AA48" s="8" t="str">
        <x:v>Coordenada suministrada y revisada por el titular; verificar correspondencia con la obra antes de atribuir una instalación física.</x:v>
      </x:c>
      <x:c r="AB48" s="8" t="str">
        <x:v>turn6search455</x:v>
      </x:c>
      <x:c r="AC48" t="str">
        <x:v>Coordenada revisada y proporcionada por el titular, 2026-10-07</x:v>
      </x:c>
    </x:row>
    <x:row r="49">
      <x:c r="A49" t="str">
        <x:v>T33</x:v>
      </x:c>
      <x:c r="B49" t="str">
        <x:v>Proyecto</x:v>
      </x:c>
      <x:c r="C49" s="8" t="str">
        <x:v>Medición Fuente Zamora línea PEAD</x:v>
      </x:c>
      <x:c r="D49" t="str">
        <x:v>AyA</x:v>
      </x:c>
      <x:c r="E49" t="str">
        <x:v>Costa Rica</x:v>
      </x:c>
      <x:c r="F49" t="str">
        <x:v>Heredia</x:v>
      </x:c>
      <x:c r="G49" t="str">
        <x:v>Belén / Fuente Zamora</x:v>
      </x:c>
      <x:c r="H49" s="10" t="n">
        <x:v>9.972706975052512</x:v>
      </x:c>
      <x:c r="I49" s="10" t="n">
        <x:v>-84.18383232588455</x:v>
      </x:c>
      <x:c r="J49" t="str">
        <x:v>2026</x:v>
      </x:c>
      <x:c r="K49" t="str"/>
      <x:c r="L49" t="str">
        <x:v>Macromedición, diagnóstico y telemetría</x:v>
      </x:c>
      <x:c r="M49" t="str">
        <x:v>Intervención / seguimiento</x:v>
      </x:c>
      <x:c r="N49" t="str">
        <x:v>Mejoramiento de Sistemas GAM</x:v>
      </x:c>
      <x:c r="O49" s="8" t="str">
        <x:v>Instalación y puesta en marcha de punto de medición para cuantificar producción, apoyar diagnósticos, sectorización e integración SCADA.</x:v>
      </x:c>
      <x:c r="P49" t="str">
        <x:v>Ingeniería hidráulica,Planificación y análisis</x:v>
      </x:c>
      <x:c r="Q49" t="str"/>
      <x:c r="R49" s="8" t="str">
        <x:v>Zona aproximada</x:v>
      </x:c>
      <x:c r="S49" t="str">
        <x:v>yes</x:v>
      </x:c>
      <x:c r="T49" t="str">
        <x:v>Trayectoria 2017–2026 (archivo aportado)</x:v>
      </x:c>
      <x:c r="U49" s="8" t="str"/>
      <x:c r="V49" t="str">
        <x:v>https://www.google.com/maps/search/?api=1&amp;query=9.97270697505251%2C-84.18383232588455</x:v>
      </x:c>
      <x:c r="W49" t="str"/>
      <x:c r="X49" s="8" t="str">
        <x:v>Zona</x:v>
      </x:c>
      <x:c r="Y49" s="8" t="str">
        <x:v>Alta</x:v>
      </x:c>
      <x:c r="Z49" s="8" t="str">
        <x:v>Instalación y puesta en marcha de punto de medición para cuantificar producción, apoyar diagnósticos, sectorización e integración SCADA.</x:v>
      </x:c>
      <x:c r="AA49" s="8" t="str">
        <x:v>Punto de referencia aportado por el titular. Para programas, estudios o redes multisede no representa necesariamente una instalación puntual.</x:v>
      </x:c>
      <x:c r="AB49" s="8" t="str">
        <x:v>turn6search455</x:v>
      </x:c>
      <x:c r="AC49" t="str">
        <x:v>Coordenada revisada y proporcionada por el titular, 2026-10-07</x:v>
      </x:c>
    </x:row>
    <x:row r="50">
      <x:c r="A50" t="str">
        <x:v>T34</x:v>
      </x:c>
      <x:c r="B50" t="str">
        <x:v>Proyecto</x:v>
      </x:c>
      <x:c r="C50" s="8" t="str">
        <x:v>Sectorización y gestión avanzada de presiones</x:v>
      </x:c>
      <x:c r="D50" t="str">
        <x:v>AyA</x:v>
      </x:c>
      <x:c r="E50" t="str">
        <x:v>Costa Rica</x:v>
      </x:c>
      <x:c r="F50" t="str">
        <x:v>GAM / Nacional</x:v>
      </x:c>
      <x:c r="G50" t="str">
        <x:v>GAM</x:v>
      </x:c>
      <x:c r="H50" s="10" t="n">
        <x:v>9.913411473518124</x:v>
      </x:c>
      <x:c r="I50" s="10" t="n">
        <x:v>-84.12684787186912</x:v>
      </x:c>
      <x:c r="J50" t="str">
        <x:v>2026</x:v>
      </x:c>
      <x:c r="K50" t="str"/>
      <x:c r="L50" t="str">
        <x:v>Modelación, sectorización y gestión de presiones</x:v>
      </x:c>
      <x:c r="M50" t="str">
        <x:v>Intervención / seguimiento</x:v>
      </x:c>
      <x:c r="N50" t="str">
        <x:v>Mejoramiento de Sistemas GAM</x:v>
      </x:c>
      <x:c r="O50" s="8" t="str">
        <x:v>Coordinación de modelos hidráulicos, campañas de campo, regulación, monitoreo, válvulas y seguimiento de desempeño.</x:v>
      </x:c>
      <x:c r="P50" t="str">
        <x:v>Ingeniería hidráulica,Planificación y análisis</x:v>
      </x:c>
      <x:c r="Q50" t="str"/>
      <x:c r="R50" s="8" t="str">
        <x:v>Regional / multisitio</x:v>
      </x:c>
      <x:c r="S50" t="str">
        <x:v>yes</x:v>
      </x:c>
      <x:c r="T50" t="str">
        <x:v>Trayectoria 2017–2026 (archivo aportado)</x:v>
      </x:c>
      <x:c r="U50" s="8" t="str"/>
      <x:c r="V50" t="str">
        <x:v>https://www.google.com/maps/search/?api=1&amp;query=9.91341147351812%2C-84.12684787186912</x:v>
      </x:c>
      <x:c r="W50" t="str"/>
      <x:c r="X50" s="8" t="str">
        <x:v>Regional</x:v>
      </x:c>
      <x:c r="Y50" s="8" t="str">
        <x:v>Alta</x:v>
      </x:c>
      <x:c r="Z50" s="8" t="str">
        <x:v>Coordinación de modelos hidráulicos, campañas de campo, regulación, monitoreo, válvulas y seguimiento de desempeño.</x:v>
      </x:c>
      <x:c r="AA50" s="8" t="str">
        <x:v>Punto de referencia aportado por el titular. Para programas, estudios o redes multisede no representa necesariamente una instalación puntual.</x:v>
      </x:c>
      <x:c r="AB50" s="8" t="str">
        <x:v>turn6search455</x:v>
      </x:c>
      <x:c r="AC50" t="str">
        <x:v>Coordenada revisada y proporcionada por el titular, 2026-10-07</x:v>
      </x:c>
    </x:row>
    <x:row r="51">
      <x:c r="A51" t="str">
        <x:v>T35</x:v>
      </x:c>
      <x:c r="B51" t="str">
        <x:v>Proyecto</x:v>
      </x:c>
      <x:c r="C51" s="8" t="str">
        <x:v>Recuperación de caudal por fugas no visibles en Pavas</x:v>
      </x:c>
      <x:c r="D51" t="str">
        <x:v>AyA</x:v>
      </x:c>
      <x:c r="E51" t="str">
        <x:v>Costa Rica</x:v>
      </x:c>
      <x:c r="F51" t="str">
        <x:v>San José</x:v>
      </x:c>
      <x:c r="G51" t="str">
        <x:v>Pavas</x:v>
      </x:c>
      <x:c r="H51" s="10" t="n">
        <x:v>9.950499992741445</x:v>
      </x:c>
      <x:c r="I51" s="10" t="n">
        <x:v>-84.13916937995353</x:v>
      </x:c>
      <x:c r="J51" t="str">
        <x:v>2026</x:v>
      </x:c>
      <x:c r="K51" t="str"/>
      <x:c r="L51" t="str">
        <x:v>Detección de fugas, modelación y monitoreo</x:v>
      </x:c>
      <x:c r="M51" t="str">
        <x:v>Intervención / seguimiento</x:v>
      </x:c>
      <x:c r="N51" t="str">
        <x:v>Mejoramiento de Sistemas GAM</x:v>
      </x:c>
      <x:c r="O51" s="8" t="str">
        <x:v>Combinación de modelación, mediciones de campo y monitoreo para orientar detección y reparación de fugas no visibles.</x:v>
      </x:c>
      <x:c r="P51" t="str">
        <x:v>Ingeniería hidráulica,Planificación y análisis</x:v>
      </x:c>
      <x:c r="Q51" t="str"/>
      <x:c r="R51" s="8" t="str">
        <x:v>Localidad aproximada</x:v>
      </x:c>
      <x:c r="S51" t="str">
        <x:v>yes</x:v>
      </x:c>
      <x:c r="T51" t="str">
        <x:v>Trayectoria 2017–2026 (archivo aportado)</x:v>
      </x:c>
      <x:c r="U51" s="8" t="str"/>
      <x:c r="V51" t="str">
        <x:v>https://www.google.com/maps/search/?api=1&amp;query=9.95049999274145%2C-84.13916937995353</x:v>
      </x:c>
      <x:c r="W51" t="str"/>
      <x:c r="X51" s="8" t="str">
        <x:v>Zona</x:v>
      </x:c>
      <x:c r="Y51" s="8" t="str">
        <x:v>Alta</x:v>
      </x:c>
      <x:c r="Z51" s="8" t="str">
        <x:v>Combinación de modelación, mediciones de campo y monitoreo para orientar detección y reparación de fugas no visibles.</x:v>
      </x:c>
      <x:c r="AA51" s="8" t="str">
        <x:v>Punto de referencia aportado por el titular. Para programas, estudios o redes multisede no representa necesariamente una instalación puntual.</x:v>
      </x:c>
      <x:c r="AB51" s="8" t="str">
        <x:v>turn6search455</x:v>
      </x:c>
      <x:c r="AC51" t="str">
        <x:v>Coordenada revisada y proporcionada por el titular, 2026-10-07</x:v>
      </x:c>
    </x:row>
    <x:row r="52">
      <x:c r="A52" t="str">
        <x:v>T36</x:v>
      </x:c>
      <x:c r="B52" t="str">
        <x:v>Proyecto</x:v>
      </x:c>
      <x:c r="C52" s="8" t="str">
        <x:v>Plan de contingencia de Alajuelita</x:v>
      </x:c>
      <x:c r="D52" t="str">
        <x:v>AyA</x:v>
      </x:c>
      <x:c r="E52" t="str">
        <x:v>Costa Rica</x:v>
      </x:c>
      <x:c r="F52" t="str">
        <x:v>San José</x:v>
      </x:c>
      <x:c r="G52" t="str">
        <x:v>Alajuelita</x:v>
      </x:c>
      <x:c r="H52" s="10" t="n">
        <x:v>9.887104300786469</x:v>
      </x:c>
      <x:c r="I52" s="10" t="n">
        <x:v>-84.10756586210023</x:v>
      </x:c>
      <x:c r="J52" t="str">
        <x:v>2026</x:v>
      </x:c>
      <x:c r="K52" t="str"/>
      <x:c r="L52" t="str">
        <x:v>Planificación de contingencia y análisis hidráulico</x:v>
      </x:c>
      <x:c r="M52" t="str">
        <x:v>Estudio / gestión</x:v>
      </x:c>
      <x:c r="N52" t="str">
        <x:v>Mejoramiento de Sistemas GAM</x:v>
      </x:c>
      <x:c r="O52" s="8" t="str">
        <x:v>Preparación de plan con sectores vulnerables, servicios esenciales, almacenamiento, sectorización, presiones, refuerzos y caudales futuros.</x:v>
      </x:c>
      <x:c r="P52" t="str">
        <x:v>Ingeniería hidráulica,Planificación y análisis</x:v>
      </x:c>
      <x:c r="Q52" t="str"/>
      <x:c r="R52" s="8" t="str">
        <x:v>Multisitio / zona</x:v>
      </x:c>
      <x:c r="S52" t="str">
        <x:v>yes</x:v>
      </x:c>
      <x:c r="T52" t="str">
        <x:v>Trayectoria 2017–2026 (archivo aportado)</x:v>
      </x:c>
      <x:c r="U52" s="8" t="str"/>
      <x:c r="V52" t="str">
        <x:v>https://www.google.com/maps/search/?api=1&amp;query=9.88710430078647%2C-84.10756586210023</x:v>
      </x:c>
      <x:c r="W52" t="str"/>
      <x:c r="X52" s="8" t="str">
        <x:v>Zona</x:v>
      </x:c>
      <x:c r="Y52" s="8" t="str">
        <x:v>Alta</x:v>
      </x:c>
      <x:c r="Z52" s="8" t="str">
        <x:v>Preparación de plan con sectores vulnerables, servicios esenciales, almacenamiento, sectorización, presiones, refuerzos y caudales futuros.</x:v>
      </x:c>
      <x:c r="AA52" s="8" t="str">
        <x:v>Coordenada suministrada y revisada por el titular; verificar correspondencia con la obra antes de atribuir una instalación física.</x:v>
      </x:c>
      <x:c r="AB52" s="8" t="str">
        <x:v>turn2search352; turn6search455</x:v>
      </x:c>
      <x:c r="AC52" t="str">
        <x:v>Coordenada revisada y proporcionada por el titular, 2026-10-07</x:v>
      </x:c>
    </x:row>
    <x:row r="53">
      <x:c r="A53" t="str">
        <x:v>T37</x:v>
      </x:c>
      <x:c r="B53" t="str">
        <x:v>Proyecto</x:v>
      </x:c>
      <x:c r="C53" s="8" t="str">
        <x:v>Sistema Pizote y Calle El Cerrito</x:v>
      </x:c>
      <x:c r="D53" t="str">
        <x:v>AyA</x:v>
      </x:c>
      <x:c r="E53" t="str">
        <x:v>Costa Rica</x:v>
      </x:c>
      <x:c r="F53" t="str">
        <x:v>Cartago</x:v>
      </x:c>
      <x:c r="G53" t="str">
        <x:v>La Unión / San Ramón</x:v>
      </x:c>
      <x:c r="H53" s="10" t="n">
        <x:v>9.94922999857834</x:v>
      </x:c>
      <x:c r="I53" s="10" t="n">
        <x:v>-83.96440437290944</x:v>
      </x:c>
      <x:c r="J53" t="str">
        <x:v>2026</x:v>
      </x:c>
      <x:c r="K53" t="str"/>
      <x:c r="L53" t="str">
        <x:v>Medición de presión, diagnóstico y plan de intervención</x:v>
      </x:c>
      <x:c r="M53" t="str">
        <x:v>Intervención / seguimiento</x:v>
      </x:c>
      <x:c r="N53" t="str">
        <x:v>Mejoramiento de Sistemas GAM</x:v>
      </x:c>
      <x:c r="O53" s="8" t="str">
        <x:v>Coordinación de instalación de registrador, análisis de continuidad y presiones, diagnóstico estructural, acciones correctivas y plan de cumplimiento de resolución judicial.</x:v>
      </x:c>
      <x:c r="P53" t="str">
        <x:v>Ingeniería hidráulica,Planificación y análisis</x:v>
      </x:c>
      <x:c r="Q53" t="str"/>
      <x:c r="R53" s="8" t="str">
        <x:v>Localidad aproximada</x:v>
      </x:c>
      <x:c r="S53" t="str">
        <x:v>yes</x:v>
      </x:c>
      <x:c r="T53" t="str">
        <x:v>Trayectoria 2017–2026 (archivo aportado)</x:v>
      </x:c>
      <x:c r="U53" s="8" t="str"/>
      <x:c r="V53" t="str">
        <x:v>https://www.google.com/maps/search/?api=1&amp;query=9.94922999857834%2C-83.96440437290944</x:v>
      </x:c>
      <x:c r="W53" t="str"/>
      <x:c r="X53" s="8" t="str">
        <x:v>Zona</x:v>
      </x:c>
      <x:c r="Y53" s="8" t="str">
        <x:v>Alta</x:v>
      </x:c>
      <x:c r="Z53" s="8" t="str">
        <x:v>Coordinación de instalación de registrador, análisis de continuidad y presiones, diagnóstico estructural, acciones correctivas y plan de cumplimiento de resolución judicial.</x:v>
      </x:c>
      <x:c r="AA53" s="8" t="str">
        <x:v>Punto de referencia aportado por el titular. Para programas, estudios o redes multisede no representa necesariamente una instalación puntual.</x:v>
      </x:c>
      <x:c r="AB53" s="8" t="str">
        <x:v>turn2search381; turn2search398</x:v>
      </x:c>
      <x:c r="AC53" t="str">
        <x:v>Coordenada revisada y proporcionada por el titular, 2026-10-07</x:v>
      </x:c>
    </x:row>
    <x:row r="54">
      <x:c r="A54" t="str">
        <x:v>T38</x:v>
      </x:c>
      <x:c r="B54" t="str">
        <x:v>Proyecto</x:v>
      </x:c>
      <x:c r="C54" s="8" t="str">
        <x:v>Banco de necesidades y proyectos GAM</x:v>
      </x:c>
      <x:c r="D54" t="str">
        <x:v>AyA</x:v>
      </x:c>
      <x:c r="E54" t="str">
        <x:v>Costa Rica</x:v>
      </x:c>
      <x:c r="F54" t="str">
        <x:v>GAM / Nacional</x:v>
      </x:c>
      <x:c r="G54" t="str">
        <x:v>GAM</x:v>
      </x:c>
      <x:c r="H54" s="10" t="n">
        <x:v>9.939163048006971</x:v>
      </x:c>
      <x:c r="I54" s="10" t="n">
        <x:v>-84.1183104773215</x:v>
      </x:c>
      <x:c r="J54" t="str">
        <x:v>2026</x:v>
      </x:c>
      <x:c r="K54" t="str"/>
      <x:c r="L54" t="str">
        <x:v>Preformulación, priorización y gestión de portafolio</x:v>
      </x:c>
      <x:c r="M54" t="str">
        <x:v>Estudio / gestión</x:v>
      </x:c>
      <x:c r="N54" t="str">
        <x:v>Mejoramiento de Sistemas GAM</x:v>
      </x:c>
      <x:c r="O54" s="8" t="str">
        <x:v>Consolidación, clasificación, agrupamiento por clúster y componentes, depuración de duplicados y preparación de fichas para Planificación y futuros BPIP.</x:v>
      </x:c>
      <x:c r="P54" t="str">
        <x:v>Ingeniería hidráulica,Planificación y análisis</x:v>
      </x:c>
      <x:c r="Q54" t="str"/>
      <x:c r="R54" s="8" t="str">
        <x:v>Regional / multisitio</x:v>
      </x:c>
      <x:c r="S54" t="str">
        <x:v>yes</x:v>
      </x:c>
      <x:c r="T54" t="str">
        <x:v>Trayectoria 2017–2026 (archivo aportado)</x:v>
      </x:c>
      <x:c r="U54" s="8" t="str"/>
      <x:c r="V54" t="str">
        <x:v>https://www.google.com/maps/search/?api=1&amp;query=9.93916304800697%2C-84.11831047732150</x:v>
      </x:c>
      <x:c r="W54" t="str"/>
      <x:c r="X54" s="8" t="str">
        <x:v>Regional</x:v>
      </x:c>
      <x:c r="Y54" s="8" t="str">
        <x:v>Alta</x:v>
      </x:c>
      <x:c r="Z54" s="8" t="str">
        <x:v>Consolidación, clasificación, agrupamiento por clúster y componentes, depuración de duplicados y preparación de fichas para Planificación y futuros BPIP.</x:v>
      </x:c>
      <x:c r="AA54" s="8" t="str">
        <x:v>Punto de referencia aportado por el titular. Para programas, estudios o redes multisede no representa necesariamente una instalación puntual.</x:v>
      </x:c>
      <x:c r="AB54" s="8" t="str">
        <x:v>turn2search348; turn6search531; turn6search533</x:v>
      </x:c>
      <x:c r="AC54" t="str">
        <x:v>Coordenada revisada y proporcionada por el titular, 2026-10-07</x:v>
      </x:c>
    </x:row>
    <x:row r="55">
      <x:c r="A55" t="str">
        <x:v>T39</x:v>
      </x:c>
      <x:c r="B55" t="str">
        <x:v>Proyecto</x:v>
      </x:c>
      <x:c r="C55" s="8" t="str">
        <x:v>Estudio técnico y análisis de ofertas</x:v>
      </x:c>
      <x:c r="D55" t="str">
        <x:v>AyA</x:v>
      </x:c>
      <x:c r="E55" t="str">
        <x:v>Costa Rica</x:v>
      </x:c>
      <x:c r="F55" t="str">
        <x:v>GAM / Nacional</x:v>
      </x:c>
      <x:c r="G55" t="str">
        <x:v>San José / institucional</x:v>
      </x:c>
      <x:c r="H55" s="10" t="n">
        <x:v>9.939163048006971</x:v>
      </x:c>
      <x:c r="I55" s="10" t="n">
        <x:v>-84.1183104773215</x:v>
      </x:c>
      <x:c r="J55" t="str">
        <x:v>2026</x:v>
      </x:c>
      <x:c r="K55" t="str"/>
      <x:c r="L55" t="str">
        <x:v>Análisis técnico-económico y contratación pública</x:v>
      </x:c>
      <x:c r="M55" t="str">
        <x:v>Estudio / gestión</x:v>
      </x:c>
      <x:c r="N55" t="str">
        <x:v>Mejoramiento de Sistemas GAM</x:v>
      </x:c>
      <x:c r="O55" s="8" t="str">
        <x:v>Elaboración de estudio técnico, revisión de admisibilidad, comparación de precios, razonabilidad y recomendación de adjudicación.</x:v>
      </x:c>
      <x:c r="P55" t="str">
        <x:v>Ingeniería hidráulica,Planificación y análisis</x:v>
      </x:c>
      <x:c r="Q55" t="str"/>
      <x:c r="R55" s="8" t="str">
        <x:v>Institucional / sin sitio</x:v>
      </x:c>
      <x:c r="S55" t="str">
        <x:v>yes</x:v>
      </x:c>
      <x:c r="T55" t="str">
        <x:v>Trayectoria 2017–2026 (archivo aportado)</x:v>
      </x:c>
      <x:c r="U55" s="8" t="str"/>
      <x:c r="V55" t="str">
        <x:v>https://www.google.com/maps/search/?api=1&amp;query=9.93916304800697%2C-84.11831047732150</x:v>
      </x:c>
      <x:c r="W55" t="str"/>
      <x:c r="X55" s="8" t="str">
        <x:v>Regional</x:v>
      </x:c>
      <x:c r="Y55" s="8" t="str">
        <x:v>Alta</x:v>
      </x:c>
      <x:c r="Z55" s="8" t="str">
        <x:v>Elaboración de estudio técnico, revisión de admisibilidad, comparación de precios, razonabilidad y recomendación de adjudicación.</x:v>
      </x:c>
      <x:c r="AA55" s="8" t="str">
        <x:v>Punto de referencia aportado por el titular. Para programas, estudios o redes multisede no representa necesariamente una instalación puntual.</x:v>
      </x:c>
      <x:c r="AB55" s="8" t="str">
        <x:v>turn2search433; turn2search434; turn2search448</x:v>
      </x:c>
      <x:c r="AC55" t="str">
        <x:v>Coordenada revisada y proporcionada por el titular, 2026-10-07</x:v>
      </x:c>
    </x:row>
    <x:row r="56">
      <x:c r="A56" t="str">
        <x:v>T40</x:v>
      </x:c>
      <x:c r="B56" t="str">
        <x:v>Proyecto</x:v>
      </x:c>
      <x:c r="C56" s="8" t="str">
        <x:v>Licitación de caudalímetros por demanda</x:v>
      </x:c>
      <x:c r="D56" t="str">
        <x:v>AyA</x:v>
      </x:c>
      <x:c r="E56" t="str">
        <x:v>Costa Rica</x:v>
      </x:c>
      <x:c r="F56" t="str">
        <x:v>GAM / Nacional</x:v>
      </x:c>
      <x:c r="G56" t="str">
        <x:v>San José / alcance nacional</x:v>
      </x:c>
      <x:c r="H56" s="10" t="n">
        <x:v>9.939163048006971</x:v>
      </x:c>
      <x:c r="I56" s="10" t="n">
        <x:v>-84.1183104773215</x:v>
      </x:c>
      <x:c r="J56" t="str">
        <x:v>2026</x:v>
      </x:c>
      <x:c r="K56" t="str"/>
      <x:c r="L56" t="str">
        <x:v>Contratación, instrumentación y costos</x:v>
      </x:c>
      <x:c r="M56" t="str">
        <x:v>Estudio / gestión</x:v>
      </x:c>
      <x:c r="N56" t="str">
        <x:v>Mejoramiento de Sistemas GAM</x:v>
      </x:c>
      <x:c r="O56" s="8" t="str">
        <x:v>Desarrollo de especificaciones técnicas, evaluación de tecnologías, estudio de mercado, evaluación de ofertas y gestión de contratación.</x:v>
      </x:c>
      <x:c r="P56" t="str">
        <x:v>Ingeniería hidráulica,Planificación y análisis</x:v>
      </x:c>
      <x:c r="Q56" t="str"/>
      <x:c r="R56" s="8" t="str">
        <x:v>Nacional / multisitio</x:v>
      </x:c>
      <x:c r="S56" t="str">
        <x:v>yes</x:v>
      </x:c>
      <x:c r="T56" t="str">
        <x:v>Trayectoria 2017–2026 (archivo aportado)</x:v>
      </x:c>
      <x:c r="U56" s="8" t="str"/>
      <x:c r="V56" t="str">
        <x:v>https://www.google.com/maps/search/?api=1&amp;query=9.93916304800697%2C-84.11831047732150</x:v>
      </x:c>
      <x:c r="W56" t="str"/>
      <x:c r="X56" s="8" t="str">
        <x:v>Regional</x:v>
      </x:c>
      <x:c r="Y56" s="8" t="str">
        <x:v>Alta</x:v>
      </x:c>
      <x:c r="Z56" s="8" t="str">
        <x:v>Desarrollo de especificaciones técnicas, evaluación de tecnologías, estudio de mercado, evaluación de ofertas y gestión de contratación.</x:v>
      </x:c>
      <x:c r="AA56" s="8" t="str">
        <x:v>Punto de referencia aportado por el titular. Para programas, estudios o redes multisede no representa necesariamente una instalación puntual.</x:v>
      </x:c>
      <x:c r="AB56" s="8" t="str">
        <x:v>turn2search352; turn6search455</x:v>
      </x:c>
      <x:c r="AC56" t="str">
        <x:v>Coordenada revisada y proporcionada por el titular, 2026-10-07</x:v>
      </x:c>
    </x:row>
    <x:row r="57">
      <x:c r="A57" t="str">
        <x:v>T41</x:v>
      </x:c>
      <x:c r="B57" t="str">
        <x:v>Proyecto</x:v>
      </x:c>
      <x:c r="C57" s="8" t="str">
        <x:v>Plan Maestro y contingencia del Acueducto Metropolitano</x:v>
      </x:c>
      <x:c r="D57" t="str">
        <x:v>AyA</x:v>
      </x:c>
      <x:c r="E57" t="str">
        <x:v>Costa Rica</x:v>
      </x:c>
      <x:c r="F57" t="str">
        <x:v>GAM / Nacional</x:v>
      </x:c>
      <x:c r="G57" t="str">
        <x:v>GAM</x:v>
      </x:c>
      <x:c r="H57" s="10" t="n">
        <x:v>9.939163048006971</x:v>
      </x:c>
      <x:c r="I57" s="10" t="n">
        <x:v>-84.1183104773215</x:v>
      </x:c>
      <x:c r="J57" t="str">
        <x:v>2026</x:v>
      </x:c>
      <x:c r="K57" t="str"/>
      <x:c r="L57" t="str">
        <x:v>Planificación estratégica y análisis de cartera</x:v>
      </x:c>
      <x:c r="M57" t="str">
        <x:v>Estudio / gestión</x:v>
      </x:c>
      <x:c r="N57" t="str">
        <x:v>Mejoramiento de Sistemas GAM</x:v>
      </x:c>
      <x:c r="O57" s="8" t="str">
        <x:v>Análisis histórico y estratégico de fuentes, almacenamiento, conducciones, retrasos de proyectos y necesidad de hoja de ruta y contingencia para el abastecimiento metropolitano.</x:v>
      </x:c>
      <x:c r="P57" t="str">
        <x:v>Ingeniería hidráulica,Planificación y análisis</x:v>
      </x:c>
      <x:c r="Q57" t="str"/>
      <x:c r="R57" s="8" t="str">
        <x:v>Regional / multisitio</x:v>
      </x:c>
      <x:c r="S57" t="str">
        <x:v>yes</x:v>
      </x:c>
      <x:c r="T57" t="str">
        <x:v>Trayectoria 2017–2026 (archivo aportado)</x:v>
      </x:c>
      <x:c r="U57" s="8" t="str"/>
      <x:c r="V57" t="str">
        <x:v>https://www.google.com/maps/search/?api=1&amp;query=9.93916304800697%2C-84.11831047732150</x:v>
      </x:c>
      <x:c r="W57" t="str"/>
      <x:c r="X57" s="8" t="str">
        <x:v>Regional</x:v>
      </x:c>
      <x:c r="Y57" s="8" t="str">
        <x:v>Alta</x:v>
      </x:c>
      <x:c r="Z57" s="8" t="str">
        <x:v>Análisis histórico y estratégico de fuentes, almacenamiento, conducciones, retrasos de proyectos y necesidad de hoja de ruta y contingencia para el abastecimiento metropolitano.</x:v>
      </x:c>
      <x:c r="AA57" s="8" t="str">
        <x:v>Punto de referencia aportado por el titular. Para programas, estudios o redes multisede no representa necesariamente una instalación puntual.</x:v>
      </x:c>
      <x:c r="AB57" s="8" t="str">
        <x:v>turn6search494</x:v>
      </x:c>
      <x:c r="AC57" t="str">
        <x:v>Coordenada revisada y proporcionada por el titular, 2026-10-07</x:v>
      </x:c>
    </x:row>
    <x:row r="58">
      <x:c r="A58" t="str">
        <x:v>T42</x:v>
      </x:c>
      <x:c r="B58" t="str">
        <x:v>Proyecto</x:v>
      </x:c>
      <x:c r="C58" s="8" t="str">
        <x:v>Comisión GIS y modernización geoespacial</x:v>
      </x:c>
      <x:c r="D58" t="str">
        <x:v>AyA</x:v>
      </x:c>
      <x:c r="E58" t="str">
        <x:v>Costa Rica</x:v>
      </x:c>
      <x:c r="F58" t="str">
        <x:v>GAM / Nacional</x:v>
      </x:c>
      <x:c r="G58" t="str">
        <x:v>GAM / institucional</x:v>
      </x:c>
      <x:c r="H58" s="10" t="n">
        <x:v>9.939163048006971</x:v>
      </x:c>
      <x:c r="I58" s="10" t="n">
        <x:v>-84.1183104773215</x:v>
      </x:c>
      <x:c r="J58" t="str">
        <x:v>2026</x:v>
      </x:c>
      <x:c r="K58" t="str"/>
      <x:c r="L58" t="str">
        <x:v>GIS, arquitectura de datos y transformación digital</x:v>
      </x:c>
      <x:c r="M58" t="str">
        <x:v>Estudio / gestión</x:v>
      </x:c>
      <x:c r="N58" t="str">
        <x:v>Mejoramiento de Sistemas GAM</x:v>
      </x:c>
      <x:c r="O58" s="8" t="str">
        <x:v>Apoyo técnico en aplicaciones, georradar, CORS, transición ESRI-Giswater, formularios, integración de datos, bases SQL/PostgreSQL y alternativas de código abierto.</x:v>
      </x:c>
      <x:c r="P58" t="str">
        <x:v>Ingeniería hidráulica,Gestión de proyectos,GIS</x:v>
      </x:c>
      <x:c r="Q58" t="str"/>
      <x:c r="R58" s="8" t="str">
        <x:v>Institucional / multisitio</x:v>
      </x:c>
      <x:c r="S58" t="str">
        <x:v>yes</x:v>
      </x:c>
      <x:c r="T58" t="str">
        <x:v>Trayectoria 2017–2026 (archivo aportado)</x:v>
      </x:c>
      <x:c r="U58" s="8" t="str"/>
      <x:c r="V58" t="str">
        <x:v>https://www.google.com/maps/search/?api=1&amp;query=9.93916304800697%2C-84.11831047732150</x:v>
      </x:c>
      <x:c r="W58" t="str"/>
      <x:c r="X58" s="8" t="str">
        <x:v>Regional</x:v>
      </x:c>
      <x:c r="Y58" s="8" t="str">
        <x:v>Alta</x:v>
      </x:c>
      <x:c r="Z58" s="8" t="str">
        <x:v>Apoyo técnico en aplicaciones, georradar, CORS, transición ESRI-Giswater, formularios, integración de datos, bases SQL/PostgreSQL y alternativas de código abierto.</x:v>
      </x:c>
      <x:c r="AA58" s="8" t="str">
        <x:v>Punto de referencia aportado por el titular. Para programas, estudios o redes multisede no representa necesariamente una instalación puntual.</x:v>
      </x:c>
      <x:c r="AB58" s="8" t="str">
        <x:v>turn6search444; turn6search532</x:v>
      </x:c>
      <x:c r="AC58" t="str">
        <x:v>Coordenada revisada y proporcionada por el titular, 2026-10-07</x:v>
      </x:c>
    </x:row>
  </x:sheetData>
  <x:conditionalFormatting sqref="Y2:Y58">
    <x:cfRule type="expression" dxfId="0" priority="1">
      <x:formula>Y2="Alta"</x:formula>
    </x:cfRule>
    <x:cfRule type="expression" dxfId="1" priority="2">
      <x:formula>Y2="Media"</x:formula>
    </x:cfRule>
  </x:conditionalFormatting>
  <x:dataValidations count="2">
    <x:dataValidation type="list" sqref="V2:V58">
      <x:formula1>"yes,no"</x:formula1>
    </x:dataValidation>
    <x:dataValidation type="list" sqref="AC2:AC58">
      <x:formula1>"Pendiente,Pendiente de coordenada de obra,Por verificar,Verificada"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4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44" hidden="0" customWidth="1"/>
    <x:col min="9" max="9" width="44" hidden="0" customWidth="1"/>
    <x:col min="10" max="10" width="44" hidden="0" customWidth="1"/>
    <x:col min="11" max="11" width="44" hidden="0" customWidth="1"/>
    <x:col min="12" max="12" width="35" hidden="0" customWidth="1"/>
  </x:cols>
  <x:sheetData>
    <x:row r="1" ht="30" customHeight="1">
      <x:c r="A1" s="13" t="str">
        <x:v>Período aproximado</x:v>
      </x:c>
      <x:c r="B1" s="13" t="str">
        <x:v>Dependencia / etapa</x:v>
      </x:c>
      <x:c r="C1" s="13" t="str">
        <x:v>Proyecto o intervención</x:v>
      </x:c>
      <x:c r="D1" s="13" t="str">
        <x:v>Provincia</x:v>
      </x:c>
      <x:c r="E1" s="13" t="str">
        <x:v>Cantón</x:v>
      </x:c>
      <x:c r="F1" s="13" t="str">
        <x:v>Sitio específico</x:v>
      </x:c>
      <x:c r="G1" s="13" t="str">
        <x:v>Sistema / programa</x:v>
      </x:c>
      <x:c r="H1" s="13" t="str">
        <x:v>Participación y productos</x:v>
      </x:c>
      <x:c r="I1" s="13" t="str">
        <x:v>Tipo de experiencia</x:v>
      </x:c>
      <x:c r="J1" s="13" t="str">
        <x:v>Nota de trazabilidad</x:v>
      </x:c>
      <x:c r="K1" s="13" t="str">
        <x:v>Nivel de evidencia</x:v>
      </x:c>
      <x:c r="L1" s="13" t="str">
        <x:v>Fuentes internas</x:v>
      </x:c>
    </x:row>
    <x:row r="2">
      <x:c r="A2" s="8" t="str">
        <x:v>2017-2022</x:v>
      </x:c>
      <x:c r="B2" s="8" t="str">
        <x:v>Programación y Control / Periféricos</x:v>
      </x:c>
      <x:c r="C2" s="8" t="str">
        <x:v>Cartera de proyectos de inversión de Sistemas Periféricos</x:v>
      </x:c>
      <x:c r="D2" s="8" t="str">
        <x:v>Nacional</x:v>
      </x:c>
      <x:c r="E2" s="8" t="str">
        <x:v>Varias provincias</x:v>
      </x:c>
      <x:c r="F2" s="8" t="str">
        <x:v>Varios cantones y sistemas regionales</x:v>
      </x:c>
      <x:c r="G2" s="8" t="str">
        <x:v>Cartera de proyectos Periféricos</x:v>
      </x:c>
      <x:c r="H2" s="8" t="str">
        <x:v>Revisión, recopilación, control y capitalización de inversiones; reconstrucción de antecedentes, costos, etapas, expedientes y datos de proyectos ejecutados entre 2018 y 2021.</x:v>
      </x:c>
      <x:c r="I2" s="8" t="str">
        <x:v>Gestión de cartera, análisis documental, costos y cierre/capitalización</x:v>
      </x:c>
      <x:c r="J2" s="8" t="str">
        <x:v>Participación documentada en 2022 sobre cartera histórica 2018-2021; la fecha exacta de cada proyecto debe depurarse con expedientes físicos.</x:v>
      </x:c>
      <x:c r="K2" s="8" t="str">
        <x:v>Alta</x:v>
      </x:c>
      <x:c r="L2" s="8" t="str">
        <x:v>turn6search438; turn6search441; turn6search449</x:v>
      </x:c>
    </x:row>
    <x:row r="3">
      <x:c r="A3" s="8" t="str">
        <x:v>2021</x:v>
      </x:c>
      <x:c r="B3" s="8" t="str">
        <x:v>Programación y Control / seguimiento regional</x:v>
      </x:c>
      <x:c r="C3" s="8" t="str">
        <x:v>Reposición y mejoras del Acueducto Cañas-Bebedero</x:v>
      </x:c>
      <x:c r="D3" s="8" t="str">
        <x:v>Guanacaste</x:v>
      </x:c>
      <x:c r="E3" s="8" t="str">
        <x:v>Cañas</x:v>
      </x:c>
      <x:c r="F3" s="8" t="str">
        <x:v>Cañas y Bebedero</x:v>
      </x:c>
      <x:c r="G3" s="8" t="str">
        <x:v>Acueducto Cañas-Bebedero</x:v>
      </x:c>
      <x:c r="H3" s="8" t="str">
        <x:v>Actualización de matriz del proyecto, seguimiento de información para Mesa Chorotega, coordinación con PMO e incorporación de estado y programación del proyecto.</x:v>
      </x:c>
      <x:c r="I3" s="8" t="str">
        <x:v>Seguimiento de proyecto, programación, control y reporte ejecutivo</x:v>
      </x:c>
      <x:c r="J3" s="8" t="str">
        <x:v>Correo enviado el 6 de agosto de 2021 confirma actualización personal del proyecto.</x:v>
      </x:c>
      <x:c r="K3" s="8" t="str">
        <x:v>Alta</x:v>
      </x:c>
      <x:c r="L3" s="8" t="str">
        <x:v>turn6search493</x:v>
      </x:c>
    </x:row>
    <x:row r="4">
      <x:c r="A4" s="8" t="str">
        <x:v>2022</x:v>
      </x:c>
      <x:c r="B4" s="8" t="str">
        <x:v>Programación y Control / planificación</x:v>
      </x:c>
      <x:c r="C4" s="8" t="str">
        <x:v>Mejoras al Acueducto de Coto Brus</x:v>
      </x:c>
      <x:c r="D4" s="8" t="str">
        <x:v>Puntarenas</x:v>
      </x:c>
      <x:c r="E4" s="8" t="str">
        <x:v>Coto Brus</x:v>
      </x:c>
      <x:c r="F4" s="8" t="str">
        <x:v>Sistema Las Tablas / Coto Brus</x:v>
      </x:c>
      <x:c r="G4" s="8" t="str">
        <x:v>Acueducto de Coto Brus</x:v>
      </x:c>
      <x:c r="H4" s="8" t="str">
        <x:v>Revisión de información técnica, programación, etapa, costos estimados y financiamiento dentro del Plan de Inversiones 2022-2026 y programa BCIE 1725.</x:v>
      </x:c>
      <x:c r="I4" s="8" t="str">
        <x:v>Planificación de inversiones, control de proyectos y análisis presupuestario</x:v>
      </x:c>
      <x:c r="J4" s="8" t="str">
        <x:v>La fuente acredita acceso y revisión de la matriz; no precisa liderazgo exclusivo.</x:v>
      </x:c>
      <x:c r="K4" s="8" t="str">
        <x:v>Media</x:v>
      </x:c>
      <x:c r="L4" s="8" t="str">
        <x:v>turn6search524</x:v>
      </x:c>
    </x:row>
    <x:row r="5">
      <x:c r="A5" s="8" t="str">
        <x:v>2022</x:v>
      </x:c>
      <x:c r="B5" s="8" t="str">
        <x:v>Programación y Control / planificación</x:v>
      </x:c>
      <x:c r="C5" s="8" t="str">
        <x:v>Construcción y mejoras del Acueducto de Golfito</x:v>
      </x:c>
      <x:c r="D5" s="8" t="str">
        <x:v>Puntarenas</x:v>
      </x:c>
      <x:c r="E5" s="8" t="str">
        <x:v>Golfito</x:v>
      </x:c>
      <x:c r="F5" s="8" t="str">
        <x:v>Ciudad de Golfito</x:v>
      </x:c>
      <x:c r="G5" s="8" t="str">
        <x:v>Acueducto de Golfito</x:v>
      </x:c>
      <x:c r="H5" s="8" t="str">
        <x:v>Revisión de alcance, costos, programación y estado del proyecto de sustitución de tuberías y mejoras del sistema dentro del Plan de Inversiones.</x:v>
      </x:c>
      <x:c r="I5" s="8" t="str">
        <x:v>Planificación y seguimiento de cartera</x:v>
      </x:c>
      <x:c r="J5" s="8" t="str">
        <x:v>Participación asociada al manejo de matrices de inversión remitidas directamente al usuario.</x:v>
      </x:c>
      <x:c r="K5" s="8" t="str">
        <x:v>Media</x:v>
      </x:c>
      <x:c r="L5" s="8" t="str">
        <x:v>turn6search524</x:v>
      </x:c>
    </x:row>
    <x:row r="6">
      <x:c r="A6" s="8" t="str">
        <x:v>2022</x:v>
      </x:c>
      <x:c r="B6" s="8" t="str">
        <x:v>Programación y Control / planificación</x:v>
      </x:c>
      <x:c r="C6" s="8" t="str">
        <x:v>Sistema integrado Ciudad Neily-Canoas-Laurel-La Cuesta</x:v>
      </x:c>
      <x:c r="D6" s="8" t="str">
        <x:v>Puntarenas</x:v>
      </x:c>
      <x:c r="E6" s="8" t="str">
        <x:v>Corredores</x:v>
      </x:c>
      <x:c r="F6" s="8" t="str">
        <x:v>Ciudad Neily, Paso Canoas, La Cuesta y Laurel</x:v>
      </x:c>
      <x:c r="G6" s="8" t="str">
        <x:v>Sistema integrado de Corredores</x:v>
      </x:c>
      <x:c r="H6" s="8" t="str">
        <x:v>Revisión de alcance, programación y cartera de inversión para captaciones, planta de tratamiento, bombeo, tanques y líneas de impulsión.</x:v>
      </x:c>
      <x:c r="I6" s="8" t="str">
        <x:v>Planificación de inversión y análisis de proyecto</x:v>
      </x:c>
      <x:c r="J6" s="8" t="str">
        <x:v>La fuente acredita recepción y trabajo con la matriz, no la autoría completa del diseño.</x:v>
      </x:c>
      <x:c r="K6" s="8" t="str">
        <x:v>Media</x:v>
      </x:c>
      <x:c r="L6" s="8" t="str">
        <x:v>turn6search524</x:v>
      </x:c>
    </x:row>
    <x:row r="7">
      <x:c r="A7" s="8" t="str">
        <x:v>2022</x:v>
      </x:c>
      <x:c r="B7" s="8" t="str">
        <x:v>Programación y Control / planificación</x:v>
      </x:c>
      <x:c r="C7" s="8" t="str">
        <x:v>Mejoras al Acueducto Ciudad Cortés</x:v>
      </x:c>
      <x:c r="D7" s="8" t="str">
        <x:v>Puntarenas</x:v>
      </x:c>
      <x:c r="E7" s="8" t="str">
        <x:v>Osa</x:v>
      </x:c>
      <x:c r="F7" s="8" t="str">
        <x:v>Ciudad Cortés</x:v>
      </x:c>
      <x:c r="G7" s="8" t="str">
        <x:v>Acueducto Ciudad Cortés</x:v>
      </x:c>
      <x:c r="H7" s="8" t="str">
        <x:v>Análisis de información de inversión para planta potabilizadora, almacenamiento, bombeo y líneas de conducción; revisión de costos y programación.</x:v>
      </x:c>
      <x:c r="I7" s="8" t="str">
        <x:v>Planificación, costos y seguimiento de proyecto</x:v>
      </x:c>
      <x:c r="J7" s="8" t="str">
        <x:v>Ubicación y alcance explícitos en la matriz remitida al usuario.</x:v>
      </x:c>
      <x:c r="K7" s="8" t="str">
        <x:v>Media</x:v>
      </x:c>
      <x:c r="L7" s="8" t="str">
        <x:v>turn6search524</x:v>
      </x:c>
    </x:row>
    <x:row r="8">
      <x:c r="A8" s="8" t="str">
        <x:v>2022</x:v>
      </x:c>
      <x:c r="B8" s="8" t="str">
        <x:v>Programación y Control / planificación</x:v>
      </x:c>
      <x:c r="C8" s="8" t="str">
        <x:v>Mejoras al sistema San Ramón-Palmares, etapa II</x:v>
      </x:c>
      <x:c r="D8" s="8" t="str">
        <x:v>Alajuela</x:v>
      </x:c>
      <x:c r="E8" s="8" t="str">
        <x:v>San Ramón y Palmares</x:v>
      </x:c>
      <x:c r="F8" s="8" t="str">
        <x:v>San Ramón y Palmares</x:v>
      </x:c>
      <x:c r="G8" s="8" t="str">
        <x:v>Acueductos de San Ramón y Palmares</x:v>
      </x:c>
      <x:c r="H8" s="8" t="str">
        <x:v>Revisión de factibilidad/diseño, costos y programación para sustitución de redes, separación por niveles de presión y rehabilitación de tanques.</x:v>
      </x:c>
      <x:c r="I8" s="8" t="str">
        <x:v>Análisis de inversión, programación y prefactibilidad</x:v>
      </x:c>
      <x:c r="J8" s="8" t="str">
        <x:v>El registro aparece en FOPRI remitido al usuario en 2023 con inversiones desde 2021-2028.</x:v>
      </x:c>
      <x:c r="K8" s="8" t="str">
        <x:v>Media</x:v>
      </x:c>
      <x:c r="L8" s="8" t="str">
        <x:v>turn6search519</x:v>
      </x:c>
    </x:row>
    <x:row r="9">
      <x:c r="A9" s="8" t="str">
        <x:v>2022-2023</x:v>
      </x:c>
      <x:c r="B9" s="8" t="str">
        <x:v>Programación y Control / Periféricos</x:v>
      </x:c>
      <x:c r="C9" s="8" t="str">
        <x:v>Ampliación del Acueducto de Puerto Jiménez</x:v>
      </x:c>
      <x:c r="D9" s="8" t="str">
        <x:v>Puntarenas</x:v>
      </x:c>
      <x:c r="E9" s="8" t="str">
        <x:v>Golfito</x:v>
      </x:c>
      <x:c r="F9" s="8" t="str">
        <x:v>Puerto Jiménez, Bambú y Sándalo</x:v>
      </x:c>
      <x:c r="G9" s="8" t="str">
        <x:v>Acueducto Puerto Jiménez</x:v>
      </x:c>
      <x:c r="H9" s="8" t="str">
        <x:v>Revisión de cartera FOPRI y estudios de factibilidad para nuevas fuentes, almacenamiento, distribución de presiones y atención de demanda futura.</x:v>
      </x:c>
      <x:c r="I9" s="8" t="str">
        <x:v>Factibilidad, costos y planificación de inversión</x:v>
      </x:c>
      <x:c r="J9" s="8" t="str">
        <x:v>La fuente identifica etapa de factibilidad y ubicación; debe validarse el producto específico elaborado por el usuario.</x:v>
      </x:c>
      <x:c r="K9" s="8" t="str">
        <x:v>Media</x:v>
      </x:c>
      <x:c r="L9" s="8" t="str">
        <x:v>turn6search507; turn6search519</x:v>
      </x:c>
    </x:row>
    <x:row r="10">
      <x:c r="A10" s="8" t="str">
        <x:v>2022-2023</x:v>
      </x:c>
      <x:c r="B10" s="8" t="str">
        <x:v>Programación y Control / Periféricos</x:v>
      </x:c>
      <x:c r="C10" s="8" t="str">
        <x:v>Ampliación del Acueducto de San Pablo de Turrubares</x:v>
      </x:c>
      <x:c r="D10" s="8" t="str">
        <x:v>San José</x:v>
      </x:c>
      <x:c r="E10" s="8" t="str">
        <x:v>Turrubares</x:v>
      </x:c>
      <x:c r="F10" s="8" t="str">
        <x:v>San Pablo, San Pedro, Purires, Quebrada La Plata y Calle Pérez</x:v>
      </x:c>
      <x:c r="G10" s="8" t="str">
        <x:v>Sistema San Pedro-San Pablo</x:v>
      </x:c>
      <x:c r="H10" s="8" t="str">
        <x:v>Revisión de factibilidad, alcance, costos y programación para bombeo, tanque, cloración y ramales hacia comunidades en riesgo sanitario.</x:v>
      </x:c>
      <x:c r="I10" s="8" t="str">
        <x:v>Factibilidad y planificación de inversión</x:v>
      </x:c>
      <x:c r="J10" s="8" t="str">
        <x:v>Proyecto identificado en FOPRI remitido directamente al usuario.</x:v>
      </x:c>
      <x:c r="K10" s="8" t="str">
        <x:v>Media</x:v>
      </x:c>
      <x:c r="L10" s="8" t="str">
        <x:v>turn6search507; turn6search519</x:v>
      </x:c>
    </x:row>
    <x:row r="11">
      <x:c r="A11" s="8" t="str">
        <x:v>2022-2023</x:v>
      </x:c>
      <x:c r="B11" s="8" t="str">
        <x:v>Programación y Control / Periféricos</x:v>
      </x:c>
      <x:c r="C11" s="8" t="str">
        <x:v>Rehabilitación del sistema de Colorado de Abangares</x:v>
      </x:c>
      <x:c r="D11" s="8" t="str">
        <x:v>Guanacaste</x:v>
      </x:c>
      <x:c r="E11" s="8" t="str">
        <x:v>Abangares</x:v>
      </x:c>
      <x:c r="F11" s="8" t="str">
        <x:v>Colorado; pozos 1, 2 y 3; planta contigua al pozo 2</x:v>
      </x:c>
      <x:c r="G11" s="8" t="str">
        <x:v>Acueducto Colorado</x:v>
      </x:c>
      <x:c r="H11" s="8" t="str">
        <x:v>Revisión de información de inversión, costos y programación para incorporación del pozo 3, rehabilitación electromecánica, líneas de impulsión y planta de remoción de hierro y manganeso.</x:v>
      </x:c>
      <x:c r="I11" s="8" t="str">
        <x:v>Análisis de inversión, costos y seguimiento</x:v>
      </x:c>
      <x:c r="J11" s="8" t="str">
        <x:v>Proyecto contenido en FOPRI recibido por el usuario; participación concreta pendiente de afinar.</x:v>
      </x:c>
      <x:c r="K11" s="8" t="str">
        <x:v>Media</x:v>
      </x:c>
      <x:c r="L11" s="8" t="str">
        <x:v>turn6search507; turn6search519</x:v>
      </x:c>
    </x:row>
    <x:row r="12">
      <x:c r="A12" s="8" t="str">
        <x:v>2022</x:v>
      </x:c>
      <x:c r="B12" s="8" t="str">
        <x:v>Programación y Control / Periféricos</x:v>
      </x:c>
      <x:c r="C12" s="8" t="str">
        <x:v>SCADA para PTAR de la Región Brunca</x:v>
      </x:c>
      <x:c r="D12" s="8" t="str">
        <x:v>Puntarenas y San José</x:v>
      </x:c>
      <x:c r="E12" s="8" t="str">
        <x:v>Buenos Aires y Pérez Zeledón</x:v>
      </x:c>
      <x:c r="F12" s="8" t="str">
        <x:v>PTAR Boruca, Las Lomas y San Isidro</x:v>
      </x:c>
      <x:c r="G12" s="8" t="str">
        <x:v>Saneamiento Región Brunca</x:v>
      </x:c>
      <x:c r="H12" s="8" t="str">
        <x:v>Seguimiento de proyecto para centralizar parámetros operativos, comunicaciones, registros históricos, alertas y reportes de plantas de tratamiento.</x:v>
      </x:c>
      <x:c r="I12" s="8" t="str">
        <x:v>Planificación tecnológica, costos y seguimiento de contratación</x:v>
      </x:c>
      <x:c r="J12" s="8" t="str">
        <x:v>La matriz de inversión detalla proyecto, ubicación, etapa y responsable de Periféricos.</x:v>
      </x:c>
      <x:c r="K12" s="8" t="str">
        <x:v>Media</x:v>
      </x:c>
      <x:c r="L12" s="8" t="str">
        <x:v>turn6search525</x:v>
      </x:c>
    </x:row>
    <x:row r="13">
      <x:c r="A13" s="8" t="str">
        <x:v>2022</x:v>
      </x:c>
      <x:c r="B13" s="8" t="str">
        <x:v>Programación y Control / Periféricos</x:v>
      </x:c>
      <x:c r="C13" s="8" t="str">
        <x:v>Estación de bombeo de aguas residuales río San Isidro</x:v>
      </x:c>
      <x:c r="D13" s="8" t="str">
        <x:v>San José</x:v>
      </x:c>
      <x:c r="E13" s="8" t="str">
        <x:v>Pérez Zeledón</x:v>
      </x:c>
      <x:c r="F13" s="8" t="str">
        <x:v>Santa Cecilia y puente canal sobre río San Isidro</x:v>
      </x:c>
      <x:c r="G13" s="8" t="str">
        <x:v>Saneamiento San Isidro de El General</x:v>
      </x:c>
      <x:c r="H13" s="8" t="str">
        <x:v>Revisión de programación y costos para estación de bombeo, corrección de colector y trasiego seguro sobre el río San Isidro.</x:v>
      </x:c>
      <x:c r="I13" s="8" t="str">
        <x:v>Planificación y seguimiento de inversión</x:v>
      </x:c>
      <x:c r="J13" s="8" t="str">
        <x:v>Ubicación y alcance explícitos en la matriz revisada por Periféricos.</x:v>
      </x:c>
      <x:c r="K13" s="8" t="str">
        <x:v>Media</x:v>
      </x:c>
      <x:c r="L13" s="8" t="str">
        <x:v>turn6search525</x:v>
      </x:c>
    </x:row>
    <x:row r="14">
      <x:c r="A14" s="8" t="str">
        <x:v>2022</x:v>
      </x:c>
      <x:c r="B14" s="8" t="str">
        <x:v>Programación y Control / Periféricos</x:v>
      </x:c>
      <x:c r="C14" s="8" t="str">
        <x:v>Plantel y mejoras PTAR San Isidro</x:v>
      </x:c>
      <x:c r="D14" s="8" t="str">
        <x:v>San José</x:v>
      </x:c>
      <x:c r="E14" s="8" t="str">
        <x:v>Pérez Zeledón</x:v>
      </x:c>
      <x:c r="F14" s="8" t="str">
        <x:v>PTAR San Isidro</x:v>
      </x:c>
      <x:c r="G14" s="8" t="str">
        <x:v>Saneamiento San Isidro de El General</x:v>
      </x:c>
      <x:c r="H14" s="8" t="str">
        <x:v>Revisión de cartera y programación para infraestructura de plantel, resguardo de equipo y mejoras de accesos.</x:v>
      </x:c>
      <x:c r="I14" s="8" t="str">
        <x:v>Planificación y control de inversión</x:v>
      </x:c>
      <x:c r="J14" s="8" t="str">
        <x:v>Registro visible en la matriz de inversión remitida al ámbito Periféricos.</x:v>
      </x:c>
      <x:c r="K14" s="8" t="str">
        <x:v>Media</x:v>
      </x:c>
      <x:c r="L14" s="8" t="str">
        <x:v>turn6search525</x:v>
      </x:c>
    </x:row>
    <x:row r="15">
      <x:c r="A15" s="8" t="str">
        <x:v>Dic. 2022-Oct. 2023</x:v>
      </x:c>
      <x:c r="B15" s="8" t="str">
        <x:v>Producción y Distribución / Periféricos</x:v>
      </x:c>
      <x:c r="C15" s="8" t="str">
        <x:v>Prefactibilidades y formulación de infraestructura hidráulica</x:v>
      </x:c>
      <x:c r="D15" s="8" t="str">
        <x:v>Nacional</x:v>
      </x:c>
      <x:c r="E15" s="8" t="str">
        <x:v>Varios</x:v>
      </x:c>
      <x:c r="F15" s="8" t="str">
        <x:v>Pozos, conducciones y sistemas regionales</x:v>
      </x:c>
      <x:c r="G15" s="8" t="str">
        <x:v>Cartera técnica de Periféricos</x:v>
      </x:c>
      <x:c r="H15" s="8" t="str">
        <x:v>Preparación de estudios de prefactibilidad, apoyo a supervisión técnica de pozos y conducciones, formulación de proyectos y desarrollo de modelos de datos y tableros para planificación.</x:v>
      </x:c>
      <x:c r="I15" s="8" t="str">
        <x:v>Prefactibilidad, formulación, supervisión y analítica</x:v>
      </x:c>
      <x:c r="J15" s="8" t="str">
        <x:v>Período y funciones explícitos en el CV corporativo localizado.</x:v>
      </x:c>
      <x:c r="K15" s="8" t="str">
        <x:v>Alta</x:v>
      </x:c>
      <x:c r="L15" s="8" t="str">
        <x:v>turn2search442; turn6search563</x:v>
      </x:c>
    </x:row>
    <x:row r="16">
      <x:c r="A16" s="8" t="str">
        <x:v>2023</x:v>
      </x:c>
      <x:c r="B16" s="8" t="str">
        <x:v>Periféricos / PAAM</x:v>
      </x:c>
      <x:c r="C16" s="8" t="str">
        <x:v>Estudio de Factibilidad PAAM V Etapa</x:v>
      </x:c>
      <x:c r="D16" s="8" t="str">
        <x:v>Cartago y San José</x:v>
      </x:c>
      <x:c r="E16" s="8" t="str">
        <x:v>Paraíso, El Guarco, Desamparados, Curridabat y área metropolitana</x:v>
      </x:c>
      <x:c r="F16" s="8" t="str">
        <x:v>Embalse El Llano/Río Macho, Patarrá y puntos de interconexión metropolitanos</x:v>
      </x:c>
      <x:c r="G16" s="8" t="str">
        <x:v>PAAM V Etapa</x:v>
      </x:c>
      <x:c r="H16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I16" s="8" t="str">
        <x:v>Factibilidad técnica, análisis financiero, institucional y de riesgo</x:v>
      </x:c>
      <x:c r="J16" s="8" t="str">
        <x:v>Participación directa documentada en chats y en informe de gestión de la comisión.</x:v>
      </x:c>
      <x:c r="K16" s="8" t="str">
        <x:v>Alta</x:v>
      </x:c>
      <x:c r="L16" s="8" t="str">
        <x:v>turn2search436; turn6search428; turn6search432; turn6search439; turn6search451</x:v>
      </x:c>
    </x:row>
    <x:row r="17">
      <x:c r="A17" s="8" t="str">
        <x:v>2023</x:v>
      </x:c>
      <x:c r="B17" s="8" t="str">
        <x:v>Periféricos / PAAM</x:v>
      </x:c>
      <x:c r="C17" s="8" t="str">
        <x:v>Ficha técnica y respuesta institucional PAAM</x:v>
      </x:c>
      <x:c r="D17" s="8" t="str">
        <x:v>Cartago y San José</x:v>
      </x:c>
      <x:c r="E17" s="8" t="str">
        <x:v>Desamparados y área metropolitana</x:v>
      </x:c>
      <x:c r="F17" s="8" t="str">
        <x:v>Captación Río Macho-El Llano, planta Patarrá y Acueducto Metropolitano</x:v>
      </x:c>
      <x:c r="G17" s="8" t="str">
        <x:v>PAAM V Etapa</x:v>
      </x:c>
      <x:c r="H17" s="8" t="str">
        <x:v>Preparación y revisión de fichas descriptivas, estado del proyecto, costos, financiamiento, adquisición de terrenos, cronograma y respuesta para recurso de amparo.</x:v>
      </x:c>
      <x:c r="I17" s="8" t="str">
        <x:v>Síntesis técnica, seguimiento y respuesta institucional</x:v>
      </x:c>
      <x:c r="J17" s="8" t="str">
        <x:v>Trabajo directo del usuario documentado en diciembre de 2023.</x:v>
      </x:c>
      <x:c r="K17" s="8" t="str">
        <x:v>Alta</x:v>
      </x:c>
      <x:c r="L17" s="8" t="str">
        <x:v>turn6search429; turn6search431</x:v>
      </x:c>
    </x:row>
    <x:row r="18">
      <x:c r="A18" s="8" t="str">
        <x:v>2024</x:v>
      </x:c>
      <x:c r="B18" s="8" t="str">
        <x:v>Optimización de Sistemas GAM</x:v>
      </x:c>
      <x:c r="C18" s="8" t="str">
        <x:v>Pozo San Blas e interconexión Los Sitios-Guadalupe</x:v>
      </x:c>
      <x:c r="D18" s="8" t="str">
        <x:v>San José</x:v>
      </x:c>
      <x:c r="E18" s="8" t="str">
        <x:v>Moravia, Tibás y Goicoechea</x:v>
      </x:c>
      <x:c r="F18" s="8" t="str">
        <x:v>Pozo San Blas; sistemas Los Sitios y Guadalupe</x:v>
      </x:c>
      <x:c r="G18" s="8" t="str">
        <x:v>MEA-04 Los Sitios / MEA-02 Guadalupe</x:v>
      </x:c>
      <x:c r="H18" s="8" t="str">
        <x:v>Revisión y validación de estado de ejecución, alcance electromecánico, casetas, cloración, extensión eléctrica e interconexiones para mejorar abastecimiento.</x:v>
      </x:c>
      <x:c r="I18" s="8" t="str">
        <x:v>Seguimiento técnico de ejecución y reporte de proyectos</x:v>
      </x:c>
      <x:c r="J18" s="8" t="str">
        <x:v>Participación directa al solicitar validación y consolidar información en enero de 2024.</x:v>
      </x:c>
      <x:c r="K18" s="8" t="str">
        <x:v>Alta</x:v>
      </x:c>
      <x:c r="L18" s="8" t="str">
        <x:v>turn6search450</x:v>
      </x:c>
    </x:row>
    <x:row r="19">
      <x:c r="A19" s="8" t="str">
        <x:v>2024</x:v>
      </x:c>
      <x:c r="B19" s="8" t="str">
        <x:v>Optimización de Sistemas GAM</x:v>
      </x:c>
      <x:c r="C19" s="8" t="str">
        <x:v>Captación e impulsión Río Agra-San Jerónimo</x:v>
      </x:c>
      <x:c r="D19" s="8" t="str">
        <x:v>San José</x:v>
      </x:c>
      <x:c r="E19" s="8" t="str">
        <x:v>Vásquez de Coronado y Moravia</x:v>
      </x:c>
      <x:c r="F19" s="8" t="str">
        <x:v>Río Agra, PTAP San Jerónimo, Dulce Nombre de Jesús y San Jerónimo</x:v>
      </x:c>
      <x:c r="G19" s="8" t="str">
        <x:v>MEA-13 San Jerónimo</x:v>
      </x:c>
      <x:c r="H19" s="8" t="str">
        <x:v>Seguimiento de electrificación de estación de bombeo, operación temporal con generador y estado del proyecto para aumentar el abastecimiento.</x:v>
      </x:c>
      <x:c r="I19" s="8" t="str">
        <x:v>Seguimiento técnico y reporte ejecutivo</x:v>
      </x:c>
      <x:c r="J19" s="8" t="str">
        <x:v>Participación directa documentada en enero de 2024.</x:v>
      </x:c>
      <x:c r="K19" s="8" t="str">
        <x:v>Alta</x:v>
      </x:c>
      <x:c r="L19" s="8" t="str">
        <x:v>turn6search450</x:v>
      </x:c>
    </x:row>
    <x:row r="20">
      <x:c r="A20" s="8" t="str">
        <x:v>2024</x:v>
      </x:c>
      <x:c r="B20" s="8" t="str">
        <x:v>Optimización de Sistemas GAM</x:v>
      </x:c>
      <x:c r="C20" s="8" t="str">
        <x:v>Incorporación del pozo Guadalupe</x:v>
      </x:c>
      <x:c r="D20" s="8" t="str">
        <x:v>San José</x:v>
      </x:c>
      <x:c r="E20" s="8" t="str">
        <x:v>Goicoechea</x:v>
      </x:c>
      <x:c r="F20" s="8" t="str">
        <x:v>Pozo Guadalupe e interconexión Guadalupe-Ipís</x:v>
      </x:c>
      <x:c r="G20" s="8" t="str">
        <x:v>MEA-02 Guadalupe</x:v>
      </x:c>
      <x:c r="H20" s="8" t="str">
        <x:v>Seguimiento del pozo perforado, limpieza, armado, prueba de bombeo y búsqueda de recursos para su incorporación al sistema.</x:v>
      </x:c>
      <x:c r="I20" s="8" t="str">
        <x:v>Prefactibilidad, seguimiento y programación</x:v>
      </x:c>
      <x:c r="J20" s="8" t="str">
        <x:v>Participación directa documentada en enero de 2024.</x:v>
      </x:c>
      <x:c r="K20" s="8" t="str">
        <x:v>Alta</x:v>
      </x:c>
      <x:c r="L20" s="8" t="str">
        <x:v>turn6search450</x:v>
      </x:c>
    </x:row>
    <x:row r="21">
      <x:c r="A21" s="8" t="str">
        <x:v>2024-2026</x:v>
      </x:c>
      <x:c r="B21" s="8" t="str">
        <x:v>Optimización / Mejoramiento GAM</x:v>
      </x:c>
      <x:c r="C21" s="8" t="str">
        <x:v>Sectorización y gestión de pérdidas fuera de RANC</x:v>
      </x:c>
      <x:c r="D21" s="8" t="str">
        <x:v>San José</x:v>
      </x:c>
      <x:c r="E21" s="8" t="str">
        <x:v>Alajuelita, Hatillo, Coronado, Desamparados y San José</x:v>
      </x:c>
      <x:c r="F21" s="8" t="str">
        <x:v>Alajuelita; Hatillo 8; Coronado; San Rafael Arriba/Abajo; Barrio Amón/Otoya; Zapote-Jardín-La Gloria</x:v>
      </x:c>
      <x:c r="G21" s="8" t="str">
        <x:v>Acueducto Metropolitano</x:v>
      </x:c>
      <x:c r="H21" s="8" t="str">
        <x:v>Elaboración y seguimiento de planes e informes técnicos sobre sectorización, presiones, fugas, continuidad, cronogramas y acciones de corto, mediano y largo plazo.</x:v>
      </x:c>
      <x:c r="I21" s="8" t="str">
        <x:v>Diagnóstico, modelación, seguimiento regulatorio y reducción de pérdidas</x:v>
      </x:c>
      <x:c r="J21" s="8" t="str">
        <x:v>Evidencia directa desde 2024 y seguimiento trimestral en 2025-2026.</x:v>
      </x:c>
      <x:c r="K21" s="8" t="str">
        <x:v>Alta</x:v>
      </x:c>
      <x:c r="L21" s="8" t="str">
        <x:v>turn6search447; turn6search497; turn2search369</x:v>
      </x:c>
    </x:row>
    <x:row r="22">
      <x:c r="A22" s="8" t="str">
        <x:v>2024-2025</x:v>
      </x:c>
      <x:c r="B22" s="8" t="str">
        <x:v>Optimización de Sistemas GAM / RANC</x:v>
      </x:c>
      <x:c r="C22" s="8" t="str">
        <x:v>Servicios de ingeniería para catastro y sectorización</x:v>
      </x:c>
      <x:c r="D22" s="8" t="str">
        <x:v>GAM y sistemas periféricos</x:v>
      </x:c>
      <x:c r="E22" s="8" t="str">
        <x:v>Varios</x:v>
      </x:c>
      <x:c r="F22" s="8" t="str">
        <x:v>Zonas críticas, válvulas frontera y puntos de macromedición</x:v>
      </x:c>
      <x:c r="G22" s="8" t="str">
        <x:v>GAM y Periféricos</x:v>
      </x:c>
      <x:c r="H22" s="8" t="str">
        <x:v>Definición de requerimientos prácticos para georradar, calicatas, válvulas, accesorios, comunicación de caudalímetros, coordinación con CCO, inspección, modelación y análisis de mediciones.</x:v>
      </x:c>
      <x:c r="I22" s="8" t="str">
        <x:v>Criterio técnico, diseño de intervención y coordinación de servicios de ingeniería</x:v>
      </x:c>
      <x:c r="J22" s="8" t="str">
        <x:v>Aportes directos del usuario en taller institucional de octubre de 2024.</x:v>
      </x:c>
      <x:c r="K22" s="8" t="str">
        <x:v>Alta</x:v>
      </x:c>
      <x:c r="L22" s="8" t="str">
        <x:v>turn6search448</x:v>
      </x:c>
    </x:row>
    <x:row r="23">
      <x:c r="A23" s="8" t="str">
        <x:v>2024-2025</x:v>
      </x:c>
      <x:c r="B23" s="8" t="str">
        <x:v>Optimización de Sistemas GAM</x:v>
      </x:c>
      <x:c r="C23" s="8" t="str">
        <x:v>PRAGAM-Ruta del Agua para la GAM</x:v>
      </x:c>
      <x:c r="D23" s="8" t="str">
        <x:v>GAM</x:v>
      </x:c>
      <x:c r="E23" s="8" t="str">
        <x:v>Varios cantones</x:v>
      </x:c>
      <x:c r="F23" s="8" t="str">
        <x:v>Sistemas y proyectos de la GAM</x:v>
      </x:c>
      <x:c r="G23" s="8" t="str">
        <x:v>Programa PRAGAM</x:v>
      </x:c>
      <x:c r="H23" s="8" t="str">
        <x:v>Apoyo en mapa/visor de proyectos, etapas del ciclo de inversión, cronogramas, evaluación de alternativas y articulación de iniciativas de acción inmediata, corto, mediano y largo plazo.</x:v>
      </x:c>
      <x:c r="I23" s="8" t="str">
        <x:v>Planificación estratégica, visualización y programación</x:v>
      </x:c>
      <x:c r="J23" s="8" t="str">
        <x:v>Participación directa documentada en febrero-marzo de 2025.</x:v>
      </x:c>
      <x:c r="K23" s="8" t="str">
        <x:v>Alta</x:v>
      </x:c>
      <x:c r="L23" s="8" t="str">
        <x:v>turn6search443; turn6search446; turn6search433</x:v>
      </x:c>
    </x:row>
    <x:row r="24">
      <x:c r="A24" s="8" t="str">
        <x:v>2025</x:v>
      </x:c>
      <x:c r="B24" s="8" t="str">
        <x:v>Mejoramiento de Sistemas GAM</x:v>
      </x:c>
      <x:c r="C24" s="8" t="str">
        <x:v>Fuente Zamora y estabilización de Puente Mulas</x:v>
      </x:c>
      <x:c r="D24" s="8" t="str">
        <x:v>Heredia y San José</x:v>
      </x:c>
      <x:c r="E24" s="8" t="str">
        <x:v>Belén y sectores oeste/sur de la GAM</x:v>
      </x:c>
      <x:c r="F24" s="8" t="str">
        <x:v>Fuente Zamora, Puente Mulas y línea PEAD</x:v>
      </x:c>
      <x:c r="G24" s="8" t="str">
        <x:v>MEA-19 Puente Mulas</x:v>
      </x:c>
      <x:c r="H24" s="8" t="str">
        <x:v>Apoyo a puesta en marcha, medición y análisis de caudal; evaluación del aporte de la fuente y su efecto sobre disponibilidad y estabilidad del sistema.</x:v>
      </x:c>
      <x:c r="I24" s="8" t="str">
        <x:v>Puesta en marcha, medición, balance y optimización</x:v>
      </x:c>
      <x:c r="J24" s="8" t="str">
        <x:v>CV indica apoyo a puesta en marcha; documentación 2026 amplía el diagnóstico.</x:v>
      </x:c>
      <x:c r="K24" s="8" t="str">
        <x:v>Alta</x:v>
      </x:c>
      <x:c r="L24" s="8" t="str">
        <x:v>turn6search563; turn6search455</x:v>
      </x:c>
    </x:row>
    <x:row r="25">
      <x:c r="A25" s="8" t="str">
        <x:v>2025</x:v>
      </x:c>
      <x:c r="B25" s="8" t="str">
        <x:v>Mejoramiento de Sistemas GAM</x:v>
      </x:c>
      <x:c r="C25" s="8" t="str">
        <x:v>Análisis de demanda y escenarios GAM 2024</x:v>
      </x:c>
      <x:c r="D25" s="8" t="str">
        <x:v>GAM</x:v>
      </x:c>
      <x:c r="E25" s="8" t="str">
        <x:v>Varios cantones</x:v>
      </x:c>
      <x:c r="F25" s="8" t="str">
        <x:v>Sistemas del Acueducto Metropolitano</x:v>
      </x:c>
      <x:c r="G25" s="8" t="str">
        <x:v>GAM</x:v>
      </x:c>
      <x:c r="H25" s="8" t="str">
        <x:v>Dirección y elaboración de análisis de demanda, eventos críticos y planes de seguridad del agua para sustentar escenarios y planificación.</x:v>
      </x:c>
      <x:c r="I25" s="8" t="str">
        <x:v>Análisis de demanda, riesgos y planificación</x:v>
      </x:c>
      <x:c r="J25" s="8" t="str">
        <x:v>Documento firmado por el usuario y formalizado en 2025.</x:v>
      </x:c>
      <x:c r="K25" s="8" t="str">
        <x:v>Alta</x:v>
      </x:c>
      <x:c r="L25" s="8" t="str">
        <x:v>turn6search564</x:v>
      </x:c>
    </x:row>
    <x:row r="26">
      <x:c r="A26" s="8" t="str">
        <x:v>2025</x:v>
      </x:c>
      <x:c r="B26" s="8" t="str">
        <x:v>Mejoramiento de Sistemas GAM</x:v>
      </x:c>
      <x:c r="C26" s="8" t="str">
        <x:v>Criterio técnico mediante georradar para conexión de servicio</x:v>
      </x:c>
      <x:c r="D26" s="8" t="str">
        <x:v>San José</x:v>
      </x:c>
      <x:c r="E26" s="8" t="str">
        <x:v>No especificado en la fuente</x:v>
      </x:c>
      <x:c r="F26" s="8" t="str">
        <x:v>Propiedad con red AyA a aproximadamente 25 m</x:v>
      </x:c>
      <x:c r="G26" s="8" t="str">
        <x:v>Red de distribución GAM</x:v>
      </x:c>
      <x:c r="H26" s="8" t="str">
        <x:v>Dirección del estudio, uso de georradar, análisis de tubería, acceso vial, servidumbre y posibilidad de futuro ramal.</x:v>
      </x:c>
      <x:c r="I26" s="8" t="str">
        <x:v>Inspección técnica, georradar y factibilidad de conexión</x:v>
      </x:c>
      <x:c r="J26" s="8" t="str">
        <x:v>Provincia inferida por ámbito GAM; cantón no especificado en el resultado.</x:v>
      </x:c>
      <x:c r="K26" s="8" t="str">
        <x:v>Media</x:v>
      </x:c>
      <x:c r="L26" s="8" t="str">
        <x:v>turn6search559</x:v>
      </x:c>
    </x:row>
    <x:row r="27">
      <x:c r="A27" s="8" t="str">
        <x:v>2025-2026</x:v>
      </x:c>
      <x:c r="B27" s="8" t="str">
        <x:v>Mejoramiento de Sistemas GAM</x:v>
      </x:c>
      <x:c r="C27" s="8" t="str">
        <x:v>Trabajo aplicado: optimización del sistema de Cahuita</x:v>
      </x:c>
      <x:c r="D27" s="8" t="str">
        <x:v>Limón</x:v>
      </x:c>
      <x:c r="E27" s="8" t="str">
        <x:v>Talamanca</x:v>
      </x:c>
      <x:c r="F27" s="8" t="str">
        <x:v>Cahuita</x:v>
      </x:c>
      <x:c r="G27" s="8" t="str">
        <x:v>HC-A-02 Cahuita</x:v>
      </x:c>
      <x:c r="H27" s="8" t="str">
        <x:v>Diagnóstico hidráulico, modelación en período extendido, sectorización, instrumentación, estimación de ANC, comparación IWA/EasyCalc/AWWA, costos de instrumentación y recomendaciones operativas.</x:v>
      </x:c>
      <x:c r="I27" s="8" t="str">
        <x:v>Estudio técnico, modelación, costos y optimización</x:v>
      </x:c>
      <x:c r="J27" s="8" t="str">
        <x:v>Proyecto académico aplicado sobre sistema institucional.</x:v>
      </x:c>
      <x:c r="K27" s="8" t="str">
        <x:v>Alta</x:v>
      </x:c>
      <x:c r="L27" s="8" t="str">
        <x:v>turn2search427; turn6search554</x:v>
      </x:c>
    </x:row>
    <x:row r="28">
      <x:c r="A28" s="8" t="str">
        <x:v>2026</x:v>
      </x:c>
      <x:c r="B28" s="8" t="str">
        <x:v>Mejoramiento de Sistemas GAM</x:v>
      </x:c>
      <x:c r="C28" s="8" t="str">
        <x:v>Actualización integral de capacidad hídrica GAM</x:v>
      </x:c>
      <x:c r="D28" s="8" t="str">
        <x:v>San José, Heredia, Cartago y Alajuela</x:v>
      </x:c>
      <x:c r="E28" s="8" t="str">
        <x:v>Varios cantones</x:v>
      </x:c>
      <x:c r="F28" s="8" t="str">
        <x:v>31 sistemas de abastecimiento GAM</x:v>
      </x:c>
      <x:c r="G28" s="8" t="str">
        <x:v>GAM</x:v>
      </x:c>
      <x:c r="H28" s="8" t="str">
        <x:v>Liderazgo en balances oferta-demanda con datos SCADA, aforos, plantas, bombeo, trasvases, facturación, compromisos de caudal y proyectos; elaboración de informe y oficio para Planificación.</x:v>
      </x:c>
      <x:c r="I28" s="8" t="str">
        <x:v>Balance hídrico, análisis de datos y planificación</x:v>
      </x:c>
      <x:c r="J28" s="8" t="str">
        <x:v>Reunión transcrita y matriz de logros acreditan participación directa.</x:v>
      </x:c>
      <x:c r="K28" s="8" t="str">
        <x:v>Alta</x:v>
      </x:c>
      <x:c r="L28" s="8" t="str">
        <x:v>turn1search302; turn6search455</x:v>
      </x:c>
    </x:row>
    <x:row r="29">
      <x:c r="A29" s="8" t="str">
        <x:v>2026</x:v>
      </x:c>
      <x:c r="B29" s="8" t="str">
        <x:v>Mejoramiento de Sistemas GAM</x:v>
      </x:c>
      <x:c r="C29" s="8" t="str">
        <x:v>Diagnóstico del balance Puente Mulas</x:v>
      </x:c>
      <x:c r="D29" s="8" t="str">
        <x:v>Heredia y San José</x:v>
      </x:c>
      <x:c r="E29" s="8" t="str">
        <x:v>Belén y sectores vinculados</x:v>
      </x:c>
      <x:c r="F29" s="8" t="str">
        <x:v>Puente Mulas, Fuente Zamora, Túnel 3, bypass La Paco y booster Maiquetía</x:v>
      </x:c>
      <x:c r="G29" s="8" t="str">
        <x:v>MEA-19 Puente Mulas</x:v>
      </x:c>
      <x:c r="H29" s="8" t="str">
        <x:v>Comparación de fuentes y bombeo, identificación de reducción de producción, análisis de trasvases, déficit, ANC y medidas de recuperación.</x:v>
      </x:c>
      <x:c r="I29" s="8" t="str">
        <x:v>Diagnóstico hidráulico y formulación de alternativas</x:v>
      </x:c>
      <x:c r="J29" s="8" t="str">
        <x:v>Participación directa y cuantificada en documentos de logros y reunión técnica.</x:v>
      </x:c>
      <x:c r="K29" s="8" t="str">
        <x:v>Alta</x:v>
      </x:c>
      <x:c r="L29" s="8" t="str">
        <x:v>turn1search302; turn6search455</x:v>
      </x:c>
    </x:row>
    <x:row r="30">
      <x:c r="A30" s="8" t="str">
        <x:v>2026</x:v>
      </x:c>
      <x:c r="B30" s="8" t="str">
        <x:v>Mejoramiento de Sistemas GAM</x:v>
      </x:c>
      <x:c r="C30" s="8" t="str">
        <x:v>Alternativas de mejora para Puriscal 2026-2030</x:v>
      </x:c>
      <x:c r="D30" s="8" t="str">
        <x:v>San José</x:v>
      </x:c>
      <x:c r="E30" s="8" t="str">
        <x:v>Puriscal</x:v>
      </x:c>
      <x:c r="F30" s="8" t="str">
        <x:v>Sistema MEA-31 Puriscal y comunidades asociadas</x:v>
      </x:c>
      <x:c r="G30" s="8" t="str">
        <x:v>MEA-31 Puriscal</x:v>
      </x:c>
      <x:c r="H30" s="8" t="str">
        <x:v>Dirección de informes, giras y formulación de alternativas sobre fuentes, medición, válvulas, conducciones, almacenamiento, bombeo, sostenibilidad hídrica, terrenos, servidumbres y factibilidad.</x:v>
      </x:c>
      <x:c r="I30" s="8" t="str">
        <x:v>Diagnóstico, factibilidad y estrategia de inversión</x:v>
      </x:c>
      <x:c r="J30" s="8" t="str">
        <x:v>Informes firmados y giras del 5 de marzo, 9 y 10 de abril de 2026.</x:v>
      </x:c>
      <x:c r="K30" s="8" t="str">
        <x:v>Alta</x:v>
      </x:c>
      <x:c r="L30" s="8" t="str">
        <x:v>turn2search425; turn6search568; turn6search570</x:v>
      </x:c>
    </x:row>
    <x:row r="31">
      <x:c r="A31" s="8" t="str">
        <x:v>Jul.-Sep. 2026</x:v>
      </x:c>
      <x:c r="B31" s="8" t="str">
        <x:v>Mejoramiento de Sistemas GAM</x:v>
      </x:c>
      <x:c r="C31" s="8" t="str">
        <x:v>Estudio Calle La Máquina</x:v>
      </x:c>
      <x:c r="D31" s="8" t="str">
        <x:v>San José</x:v>
      </x:c>
      <x:c r="E31" s="8" t="str">
        <x:v>Puriscal</x:v>
      </x:c>
      <x:c r="F31" s="8" t="str">
        <x:v>Calle La Máquina y ASADA de Grifo Alto</x:v>
      </x:c>
      <x:c r="G31" s="8" t="str">
        <x:v>MEA-31 Puriscal / sistema Grifo Alto</x:v>
      </x:c>
      <x:c r="H31" s="8" t="str">
        <x:v>Visita técnica, mapas, evaluación de alternativas, revisión de estudio hidráulico 2020, disponibilidad/calidad del pozo, integración al sistema y recomendaciones de formulación y factibilidad.</x:v>
      </x:c>
      <x:c r="I31" s="8" t="str">
        <x:v>Inspección, factibilidad y coordinación interinstitucional</x:v>
      </x:c>
      <x:c r="J31" s="8" t="str">
        <x:v>Visita el 23 de julio e informe oficializado en septiembre de 2026.</x:v>
      </x:c>
      <x:c r="K31" s="8" t="str">
        <x:v>Alta</x:v>
      </x:c>
      <x:c r="L31" s="8" t="str">
        <x:v>turn2search354; turn2search416; turn6search562</x:v>
      </x:c>
    </x:row>
    <x:row r="32">
      <x:c r="A32" s="8" t="str">
        <x:v>2026</x:v>
      </x:c>
      <x:c r="B32" s="8" t="str">
        <x:v>Mejoramiento de Sistemas GAM</x:v>
      </x:c>
      <x:c r="C32" s="8" t="str">
        <x:v>Cierre del proyecto BPIP-2926 de macromedición</x:v>
      </x:c>
      <x:c r="D32" s="8" t="str">
        <x:v>GAM</x:v>
      </x:c>
      <x:c r="E32" s="8" t="str">
        <x:v>Varios cantones</x:v>
      </x:c>
      <x:c r="F32" s="8" t="str">
        <x:v>Fuentes, conducciones, tanques y redes del Acueducto Metropolitano</x:v>
      </x:c>
      <x:c r="G32" s="8" t="str">
        <x:v>BPIP-2926</x:v>
      </x:c>
      <x:c r="H32" s="8" t="str">
        <x:v>Autor del cierre técnico y administrativo; revisión de resultados, activos, medición, registro, sistematización, costos, lecciones aprendidas y liquidación técnica.</x:v>
      </x:c>
      <x:c r="I32" s="8" t="str">
        <x:v>Cierre de proyecto, evaluación y capitalización</x:v>
      </x:c>
      <x:c r="J32" s="8" t="str">
        <x:v>Documento de cierre fechado mayo de 2026.</x:v>
      </x:c>
      <x:c r="K32" s="8" t="str">
        <x:v>Alta</x:v>
      </x:c>
      <x:c r="L32" s="8" t="str">
        <x:v>turn6search574; turn6search455</x:v>
      </x:c>
    </x:row>
    <x:row r="33">
      <x:c r="A33" s="8" t="str">
        <x:v>2026</x:v>
      </x:c>
      <x:c r="B33" s="8" t="str">
        <x:v>Mejoramiento de Sistemas GAM</x:v>
      </x:c>
      <x:c r="C33" s="8" t="str">
        <x:v>Instalación de caudalímetros estratégicos</x:v>
      </x:c>
      <x:c r="D33" s="8" t="str">
        <x:v>San José, Cartago y Alajuela</x:v>
      </x:c>
      <x:c r="E33" s="8" t="str">
        <x:v>Goicoechea, La Unión/Cartago y Alajuela</x:v>
      </x:c>
      <x:c r="F33" s="8" t="str">
        <x:v>Pozos Guadalupe 1 y 2, entrada Tiribí PTAP Tres Ríos y Fuente Potrerillos</x:v>
      </x:c>
      <x:c r="G33" s="8" t="str">
        <x:v>Guadalupe, Tres Ríos y Potrerillos</x:v>
      </x:c>
      <x:c r="H33" s="8" t="str">
        <x:v>Coordinación técnica para sustitución e instalación de caudalímetros, rangos de medición, integración eléctrica, comunicaciones, SCADA y control de producción.</x:v>
      </x:c>
      <x:c r="I33" s="8" t="str">
        <x:v>Instrumentación, telemetría y puesta en marcha</x:v>
      </x:c>
      <x:c r="J33" s="8" t="str">
        <x:v>Sitios y alcances explícitos en la matriz de logros 2026.</x:v>
      </x:c>
      <x:c r="K33" s="8" t="str">
        <x:v>Alta</x:v>
      </x:c>
      <x:c r="L33" s="8" t="str">
        <x:v>turn6search455</x:v>
      </x:c>
    </x:row>
    <x:row r="34">
      <x:c r="A34" s="8" t="str">
        <x:v>2026</x:v>
      </x:c>
      <x:c r="B34" s="8" t="str">
        <x:v>Mejoramiento de Sistemas GAM</x:v>
      </x:c>
      <x:c r="C34" s="8" t="str">
        <x:v>Medición Fuente Zamora línea PEAD</x:v>
      </x:c>
      <x:c r="D34" s="8" t="str">
        <x:v>Heredia</x:v>
      </x:c>
      <x:c r="E34" s="8" t="str">
        <x:v>Belén</x:v>
      </x:c>
      <x:c r="F34" s="8" t="str">
        <x:v>Fuente Zamora, línea PEAD</x:v>
      </x:c>
      <x:c r="G34" s="8" t="str">
        <x:v>MEA-19 Puente Mulas</x:v>
      </x:c>
      <x:c r="H34" s="8" t="str">
        <x:v>Instalación y puesta en marcha de punto de medición para cuantificar producción, apoyar diagnósticos, sectorización e integración SCADA.</x:v>
      </x:c>
      <x:c r="I34" s="8" t="str">
        <x:v>Macromedición, diagnóstico y telemetría</x:v>
      </x:c>
      <x:c r="J34" s="8" t="str">
        <x:v>Ubicación general basada en el sistema Puente Mulas; sitio específico explícito.</x:v>
      </x:c>
      <x:c r="K34" s="8" t="str">
        <x:v>Alta</x:v>
      </x:c>
      <x:c r="L34" s="8" t="str">
        <x:v>turn6search455</x:v>
      </x:c>
    </x:row>
    <x:row r="35">
      <x:c r="A35" s="8" t="str">
        <x:v>2026</x:v>
      </x:c>
      <x:c r="B35" s="8" t="str">
        <x:v>Mejoramiento de Sistemas GAM</x:v>
      </x:c>
      <x:c r="C35" s="8" t="str">
        <x:v>Sectorización y gestión avanzada de presiones</x:v>
      </x:c>
      <x:c r="D35" s="8" t="str">
        <x:v>GAM</x:v>
      </x:c>
      <x:c r="E35" s="8" t="str">
        <x:v>Varios cantones</x:v>
      </x:c>
      <x:c r="F35" s="8" t="str">
        <x:v>57 distritos hidrométricos; 39 con gestión avanzada de presión</x:v>
      </x:c>
      <x:c r="G35" s="8" t="str">
        <x:v>Acueducto Metropolitano</x:v>
      </x:c>
      <x:c r="H35" s="8" t="str">
        <x:v>Coordinación de modelos hidráulicos, campañas de campo, regulación, monitoreo, válvulas y seguimiento de desempeño.</x:v>
      </x:c>
      <x:c r="I35" s="8" t="str">
        <x:v>Modelación, sectorización y gestión de presiones</x:v>
      </x:c>
      <x:c r="J35" s="8" t="str">
        <x:v>Resultados a julio de 2026 indicados en matriz de logros.</x:v>
      </x:c>
      <x:c r="K35" s="8" t="str">
        <x:v>Alta</x:v>
      </x:c>
      <x:c r="L35" s="8" t="str">
        <x:v>turn6search455</x:v>
      </x:c>
    </x:row>
    <x:row r="36">
      <x:c r="A36" s="8" t="str">
        <x:v>2026</x:v>
      </x:c>
      <x:c r="B36" s="8" t="str">
        <x:v>Mejoramiento de Sistemas GAM</x:v>
      </x:c>
      <x:c r="C36" s="8" t="str">
        <x:v>Recuperación de caudal por fugas no visibles en Pavas</x:v>
      </x:c>
      <x:c r="D36" s="8" t="str">
        <x:v>San José</x:v>
      </x:c>
      <x:c r="E36" s="8" t="str">
        <x:v>San José</x:v>
      </x:c>
      <x:c r="F36" s="8" t="str">
        <x:v>Pavas</x:v>
      </x:c>
      <x:c r="G36" s="8" t="str">
        <x:v>Sistema Pavas / Acueducto Metropolitano</x:v>
      </x:c>
      <x:c r="H36" s="8" t="str">
        <x:v>Combinación de modelación, mediciones de campo y monitoreo para orientar detección y reparación de fugas no visibles.</x:v>
      </x:c>
      <x:c r="I36" s="8" t="str">
        <x:v>Detección de fugas, modelación y monitoreo</x:v>
      </x:c>
      <x:c r="J36" s="8" t="str">
        <x:v>Matriz de logros reporta recuperación aproximada de 35 L/s.</x:v>
      </x:c>
      <x:c r="K36" s="8" t="str">
        <x:v>Alta</x:v>
      </x:c>
      <x:c r="L36" s="8" t="str">
        <x:v>turn6search455</x:v>
      </x:c>
    </x:row>
    <x:row r="37">
      <x:c r="A37" s="8" t="str">
        <x:v>2026</x:v>
      </x:c>
      <x:c r="B37" s="8" t="str">
        <x:v>Mejoramiento de Sistemas GAM</x:v>
      </x:c>
      <x:c r="C37" s="8" t="str">
        <x:v>Plan de contingencia de Alajuelita</x:v>
      </x:c>
      <x:c r="D37" s="8" t="str">
        <x:v>San José</x:v>
      </x:c>
      <x:c r="E37" s="8" t="str">
        <x:v>Alajuelita y cantones vinculados</x:v>
      </x:c>
      <x:c r="F37" s="8" t="str">
        <x:v>El Llano, Alajuelita, Lámparas, Puente Mulas y aportes de Potrerillos</x:v>
      </x:c>
      <x:c r="G37" s="8" t="str">
        <x:v>Sistemas del sur/oeste GAM</x:v>
      </x:c>
      <x:c r="H37" s="8" t="str">
        <x:v>Preparación de plan con sectores vulnerables, servicios esenciales, almacenamiento, sectorización, presiones, refuerzos y caudales futuros.</x:v>
      </x:c>
      <x:c r="I37" s="8" t="str">
        <x:v>Planificación de contingencia y análisis hidráulico</x:v>
      </x:c>
      <x:c r="J37" s="8" t="str">
        <x:v>Elaborado en septiembre de 2026 según matriz de logros.</x:v>
      </x:c>
      <x:c r="K37" s="8" t="str">
        <x:v>Alta</x:v>
      </x:c>
      <x:c r="L37" s="8" t="str">
        <x:v>turn2search352; turn6search455</x:v>
      </x:c>
    </x:row>
    <x:row r="38">
      <x:c r="A38" s="8" t="str">
        <x:v>2026</x:v>
      </x:c>
      <x:c r="B38" s="8" t="str">
        <x:v>Mejoramiento de Sistemas GAM</x:v>
      </x:c>
      <x:c r="C38" s="8" t="str">
        <x:v>Sistema Pizote y Calle El Cerrito</x:v>
      </x:c>
      <x:c r="D38" s="8" t="str">
        <x:v>Cartago</x:v>
      </x:c>
      <x:c r="E38" s="8" t="str">
        <x:v>La Unión</x:v>
      </x:c>
      <x:c r="F38" s="8" t="str">
        <x:v>Calle El Cerrito, San Ramón</x:v>
      </x:c>
      <x:c r="G38" s="8" t="str">
        <x:v>Sistema Pizote</x:v>
      </x:c>
      <x:c r="H38" s="8" t="str">
        <x:v>Coordinación de instalación de registrador, análisis de continuidad y presiones, diagnóstico estructural, acciones correctivas y plan de cumplimiento de resolución judicial.</x:v>
      </x:c>
      <x:c r="I38" s="8" t="str">
        <x:v>Medición de presión, diagnóstico y plan de intervención</x:v>
      </x:c>
      <x:c r="J38" s="8" t="str">
        <x:v>Participación directa documentada en septiembre de 2026.</x:v>
      </x:c>
      <x:c r="K38" s="8" t="str">
        <x:v>Alta</x:v>
      </x:c>
      <x:c r="L38" s="8" t="str">
        <x:v>turn2search381; turn2search398</x:v>
      </x:c>
    </x:row>
    <x:row r="39">
      <x:c r="A39" s="8" t="str">
        <x:v>2026</x:v>
      </x:c>
      <x:c r="B39" s="8" t="str">
        <x:v>Mejoramiento de Sistemas GAM</x:v>
      </x:c>
      <x:c r="C39" s="8" t="str">
        <x:v>Banco de necesidades y proyectos GAM</x:v>
      </x:c>
      <x:c r="D39" s="8" t="str">
        <x:v>GAM</x:v>
      </x:c>
      <x:c r="E39" s="8" t="str">
        <x:v>Varios cantones</x:v>
      </x:c>
      <x:c r="F39" s="8" t="str">
        <x:v>210 necesidades e iniciativas de sistemas GAM</x:v>
      </x:c>
      <x:c r="G39" s="8" t="str">
        <x:v>Cartera GAM</x:v>
      </x:c>
      <x:c r="H39" s="8" t="str">
        <x:v>Consolidación, clasificación, agrupamiento por clúster y componentes, depuración de duplicados y preparación de fichas para Planificación y futuros BPIP.</x:v>
      </x:c>
      <x:c r="I39" s="8" t="str">
        <x:v>Preformulación, priorización y gestión de portafolio</x:v>
      </x:c>
      <x:c r="J39" s="8" t="str">
        <x:v>Correo y reuniones transcritas acreditan responsabilidad directa.</x:v>
      </x:c>
      <x:c r="K39" s="8" t="str">
        <x:v>Alta</x:v>
      </x:c>
      <x:c r="L39" s="8" t="str">
        <x:v>turn2search348; turn6search531; turn6search533</x:v>
      </x:c>
    </x:row>
    <x:row r="40">
      <x:c r="A40" s="8" t="str">
        <x:v>2026</x:v>
      </x:c>
      <x:c r="B40" s="8" t="str">
        <x:v>Mejoramiento de Sistemas GAM</x:v>
      </x:c>
      <x:c r="C40" s="8" t="str">
        <x:v>Estudio técnico y análisis de ofertas</x:v>
      </x:c>
      <x:c r="D40" s="8" t="str">
        <x:v>Institucional / GAM</x:v>
      </x:c>
      <x:c r="E40" s="8" t="str">
        <x:v>No aplica</x:v>
      </x:c>
      <x:c r="F40" s="8" t="str">
        <x:v>Proceso 2026XE-000009-0021400001 y contratación de equipos</x:v>
      </x:c>
      <x:c r="G40" s="8" t="str">
        <x:v>Contratación institucional</x:v>
      </x:c>
      <x:c r="H40" s="8" t="str">
        <x:v>Elaboración de estudio técnico, revisión de admisibilidad, comparación de precios, razonabilidad y recomendación de adjudicación.</x:v>
      </x:c>
      <x:c r="I40" s="8" t="str">
        <x:v>Análisis técnico-económico y contratación pública</x:v>
      </x:c>
      <x:c r="J40" s="8" t="str">
        <x:v>Documentos elaborados por el usuario en junio-agosto de 2026.</x:v>
      </x:c>
      <x:c r="K40" s="8" t="str">
        <x:v>Alta</x:v>
      </x:c>
      <x:c r="L40" s="8" t="str">
        <x:v>turn2search433; turn2search434; turn2search448</x:v>
      </x:c>
    </x:row>
    <x:row r="41">
      <x:c r="A41" s="8" t="str">
        <x:v>2026</x:v>
      </x:c>
      <x:c r="B41" s="8" t="str">
        <x:v>Mejoramiento de Sistemas GAM</x:v>
      </x:c>
      <x:c r="C41" s="8" t="str">
        <x:v>Licitación de caudalímetros por demanda</x:v>
      </x:c>
      <x:c r="D41" s="8" t="str">
        <x:v>Nacional</x:v>
      </x:c>
      <x:c r="E41" s="8" t="str">
        <x:v>Varios</x:v>
      </x:c>
      <x:c r="F41" s="8" t="str">
        <x:v>Sistemas que requieran reposición o ampliación de medición</x:v>
      </x:c>
      <x:c r="G41" s="8" t="str">
        <x:v>Contratación 2026LY-000013-0021400001</x:v>
      </x:c>
      <x:c r="H41" s="8" t="str">
        <x:v>Desarrollo de especificaciones técnicas, evaluación de tecnologías, estudio de mercado, evaluación de ofertas y gestión de contratación.</x:v>
      </x:c>
      <x:c r="I41" s="8" t="str">
        <x:v>Contratación, instrumentación y costos</x:v>
      </x:c>
      <x:c r="J41" s="8" t="str">
        <x:v>Matriz de logros acredita participación directa.</x:v>
      </x:c>
      <x:c r="K41" s="8" t="str">
        <x:v>Alta</x:v>
      </x:c>
      <x:c r="L41" s="8" t="str">
        <x:v>turn2search352; turn6search455</x:v>
      </x:c>
    </x:row>
    <x:row r="42">
      <x:c r="A42" s="8" t="str">
        <x:v>2026</x:v>
      </x:c>
      <x:c r="B42" s="8" t="str">
        <x:v>Mejoramiento de Sistemas GAM</x:v>
      </x:c>
      <x:c r="C42" s="8" t="str">
        <x:v>Plan Maestro y contingencia del Acueducto Metropolitano</x:v>
      </x:c>
      <x:c r="D42" s="8" t="str">
        <x:v>GAM</x:v>
      </x:c>
      <x:c r="E42" s="8" t="str">
        <x:v>Varios cantones</x:v>
      </x:c>
      <x:c r="F42" s="8" t="str">
        <x:v>Acueducto Metropolitano; proyectos PAAM, PRAGAM y BCIE 2164</x:v>
      </x:c>
      <x:c r="G42" s="8" t="str">
        <x:v>GAM</x:v>
      </x:c>
      <x:c r="H42" s="8" t="str">
        <x:v>Análisis histórico y estratégico de fuentes, almacenamiento, conducciones, retrasos de proyectos y necesidad de hoja de ruta y contingencia para el abastecimiento metropolitano.</x:v>
      </x:c>
      <x:c r="I42" s="8" t="str">
        <x:v>Planificación estratégica y análisis de cartera</x:v>
      </x:c>
      <x:c r="J42" s="8" t="str">
        <x:v>Documento compartido al usuario en abril de 2026.</x:v>
      </x:c>
      <x:c r="K42" s="8" t="str">
        <x:v>Alta</x:v>
      </x:c>
      <x:c r="L42" s="8" t="str">
        <x:v>turn6search494</x:v>
      </x:c>
    </x:row>
    <x:row r="43">
      <x:c r="A43" s="8" t="str">
        <x:v>2026</x:v>
      </x:c>
      <x:c r="B43" s="8" t="str">
        <x:v>Mejoramiento de Sistemas GAM</x:v>
      </x:c>
      <x:c r="C43" s="8" t="str">
        <x:v>Comisión GIS y modernización geoespacial</x:v>
      </x:c>
      <x:c r="D43" s="8" t="str">
        <x:v>Institucional / GAM</x:v>
      </x:c>
      <x:c r="E43" s="8" t="str">
        <x:v>Varios</x:v>
      </x:c>
      <x:c r="F43" s="8" t="str">
        <x:v>GIS, geodatabases, catastro, disponibilidad y aplicaciones institucionales</x:v>
      </x:c>
      <x:c r="G43" s="8" t="str">
        <x:v>Comisión GIS</x:v>
      </x:c>
      <x:c r="H43" s="8" t="str">
        <x:v>Apoyo técnico en aplicaciones, georradar, CORS, transición ESRI-Giswater, formularios, integración de datos, bases SQL/PostgreSQL y alternativas de código abierto.</x:v>
      </x:c>
      <x:c r="I43" s="8" t="str">
        <x:v>GIS, arquitectura de datos y transformación digital</x:v>
      </x:c>
      <x:c r="J43" s="8" t="str">
        <x:v>Aportes directos documentados en marzo y octubre de 2026.</x:v>
      </x:c>
      <x:c r="K43" s="8" t="str">
        <x:v>Alta</x:v>
      </x:c>
      <x:c r="L43" s="8" t="str">
        <x:v>turn6search444; turn6search532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96" hidden="0" customWidth="1"/>
  </x:cols>
  <x:sheetData>
    <x:row r="1" ht="35" customHeight="1">
      <x:c r="A1" s="3" t="str">
        <x:v>ATLAS PROFESIONAL · GUÍA PARA ACTUALIZAR EL EXCEL</x:v>
      </x:c>
      <x:c r="B1" s="4" t="str"/>
    </x:row>
    <x:row r="2">
      <x:c r="A2" t="str">
        <x:v>Catálogo visible</x:v>
      </x:c>
      <x:c r="B2" s="8" t="str">
        <x:v>57 registros: 51 proyectos/iniciativas y 6 empresas</x:v>
      </x:c>
    </x:row>
    <x:row r="3">
      <x:c r="A3" t="str">
        <x:v>Fuente adicional</x:v>
      </x:c>
      <x:c r="B3" s="8" t="str">
        <x:v>42 registros analizados; 4 consolidados con el catálogo original para evitar duplicidades</x:v>
      </x:c>
    </x:row>
    <x:row r="4">
      <x:c r="A4" t="str">
        <x:v>Archivo maestro</x:v>
      </x:c>
      <x:c r="B4" s="8" t="str">
        <x:v>Proyectos (primera hoja). El sitio lee data/portafolio.json, generado con el BAT.</x:v>
      </x:c>
    </x:row>
    <x:row r="5">
      <x:c r="A5" t="str">
        <x:v>Coordenadas</x:v>
      </x:c>
      <x:c r="B5" s="8" t="str">
        <x:v>WGS84 decimales: latitud y longitud. No asumir localización exacta de obra</x:v>
      </x:c>
    </x:row>
    <x:row r="6">
      <x:c r="A6" t="str">
        <x:v>Precisión / validación</x:v>
      </x:c>
      <x:c r="B6" s="8" t="str">
        <x:v>Los puntos regionales/nacionales son referencias administrativas o centros de localidad</x:v>
      </x:c>
    </x:row>
    <x:row r="7">
      <x:c r="A7" t="str">
        <x:v>Evidencia</x:v>
      </x:c>
      <x:c r="B7" s="8" t="str">
        <x:v>Alta = participación documentada; Media = el usuario revisó la cartera, no necesariamente diseñó/ejecutó</x:v>
      </x:c>
    </x:row>
    <x:row r="8">
      <x:c r="A8" t="str">
        <x:v>Cambios</x:v>
      </x:c>
      <x:c r="B8" s="8" t="str">
        <x:v>Editar hoja Proyectos → Guardar → ejecutar ACTUALIZAR_DESDE_EXCEL.bat</x:v>
      </x:c>
    </x:row>
    <x:row r="9">
      <x:c r="A9" t="str">
        <x:v>Nuevas traducciones</x:v>
      </x:c>
      <x:c r="B9" s="8" t="str">
        <x:v>Ejecutar ACTUALIZAR_CON_TRADUCCION.bat (con Internet)</x:v>
      </x:c>
    </x:row>
    <x:row r="10">
      <x:c r="A10" t="str">
        <x:v>Elementos no puntuales</x:v>
      </x:c>
      <x:c r="B10" s="8" t="str">
        <x:v>Conservar como Regional / multisitio o Institucional; no tratar como obra física</x:v>
      </x:c>
    </x:row>
    <x:row r="11">
      <x:c r="A11" t="str">
        <x:v>Verificación futura</x:v>
      </x:c>
      <x:c r="B11" s="8" t="str">
        <x:v>Sustituir coordenadas y anotar URL pública; nunca publicar instalaciones restringidas</x:v>
      </x:c>
    </x:row>
    <x:row r="12">
      <x:c r="A12" t="str">
        <x:v>Origen_42</x:v>
      </x:c>
      <x:c r="B12" s="8" t="str">
        <x:v>Copia de los 42 registros del Excel aportado para trazabilidad</x:v>
      </x:c>
    </x:row>
    <x:row r="13">
      <x:c r="A13" t="str">
        <x:v>Nota</x:v>
      </x:c>
      <x:c r="B13" s="8" t="str">
        <x:v>No difundir ubicaciones sensibles de infraestructura de agua ni detalles operativos privados</x:v>
      </x:c>
    </x:row>
    <x:row r="14">
      <x:c r="A14" t="str">
        <x:v>Coordenadas actualizadas</x:v>
      </x:c>
      <x:c r="B14" t="str">
        <x:v>56 registros actualizados con referencias indicadas por el titular el 2026-10-07; consultar la precisión del proyecto.</x:v>
      </x:c>
    </x:row>
    <x:row r="15">
      <x:c r="A15" t="str">
        <x:v>CSP - Brasil (ID 16)</x:v>
      </x:c>
      <x:c r="B15" t="str">
        <x:v>La coordenada recibida cae fuera de Ceará. Se mantiene la referencia anterior hasta resolver la discrepancia.</x:v>
      </x:c>
    </x:row>
  </x:sheetData>
  <x:pageMargins left="0.7" right="0.7" top="0.75" bottom="0.75" header="0.3" footer="0.3"/>
</x:worksheet>
</file>